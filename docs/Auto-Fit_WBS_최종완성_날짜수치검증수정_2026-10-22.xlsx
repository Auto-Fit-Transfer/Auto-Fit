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c3aa2dac5b4b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to-Fit WBS" sheetId="1" r:id="R76700d82245e4a7e"/>
    <x:sheet xmlns:r="http://schemas.openxmlformats.org/officeDocument/2006/relationships" name="일지 반영 내역" sheetId="2" r:id="Ra8093bdcae50424d"/>
    <x:sheet xmlns:r="http://schemas.openxmlformats.org/officeDocument/2006/relationships" name="장기 일정 근거" sheetId="3" r:id="R1cae79b7a8594624"/>
    <x:sheet xmlns:r="http://schemas.openxmlformats.org/officeDocument/2006/relationships" name="멘토링 반영 내역" sheetId="4" r:id="Rdb87593570c64cbc"/>
    <x:sheet xmlns:r="http://schemas.openxmlformats.org/officeDocument/2006/relationships" name="WBS 작성 안내" sheetId="5" r:id="Rfe08dd55837440cf"/>
  </x:sheets>
</x:workbook>
</file>

<file path=xl/comments1.xml><?xml version="1.0" encoding="utf-8"?>
<x:comments xmlns:x="http://schemas.openxmlformats.org/spreadsheetml/2006/main">
  <x:authors>
    <x:author/>
  </x:authors>
  <x:commentList>
    <x:comment ref="N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프로젝트 전체 기간 경과율 자동 계산 셀입니다. 16주차 최종 발표일은 2026-12-04로 잠정 설정했습니다.</x:t>
        </x:r>
      </x:text>
    </x:comment>
    <x:comment ref="J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계획률은 TODAY() 기준이며 100%를 넘으면 예상 완료일이 지난 작업입니다.</x:t>
        </x:r>
      </x:text>
    </x:comment>
    <x:comment ref="L8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프로젝트 전체 진행율은 53개 세부 작업 완료율의 단순 평균입니다.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<x:sst xmlns:x="http://schemas.openxmlformats.org/spreadsheetml/2006/main">
  <x:si>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(Auto-Fit) WBS</x:t>
  </x:si>
  <x:si>
    <x:t xml:space="preserve">과제명</x:t>
  </x:si>
  <x:si>
    <x:t xml:space="preserve">Auto-Fit - AI 기반 개인 맞춤형 건강관리 서비스</x:t>
  </x:si>
  <x:si>
    <x:t xml:space="preserve">일정관리 담당자</x:t>
  </x:si>
  <x:si>
    <x:t xml:space="preserve">정수빈</x:t>
  </x:si>
  <x:si>
    <x:t xml:space="preserve">최종 작성일</x:t>
  </x:si>
  <x:si>
    <x:t xml:space="preserve">과제 책임자</x:t>
  </x:si>
  <x:si>
    <x:t xml:space="preserve">이가희</x:t>
  </x:si>
  <x:si>
    <x:t xml:space="preserve">과제 기간</x:t>
  </x:si>
  <x:si>
    <x:t xml:space="preserve">기간 경과율</x:t>
  </x:si>
  <x:si>
    <x:t xml:space="preserve">대분류</x:t>
  </x:si>
  <x:si>
    <x:t xml:space="preserve">중분류</x:t>
  </x:si>
  <x:si>
    <x:t xml:space="preserve">소분류</x:t>
  </x:si>
  <x:si>
    <x:t xml:space="preserve">작업 단계</x:t>
  </x:si>
  <x:si>
    <x:t xml:space="preserve">내용</x:t>
  </x:si>
  <x:si>
    <x:t xml:space="preserve">시작 날짜</x:t>
  </x:si>
  <x:si>
    <x:t xml:space="preserve">예상 완료 날짜</x:t>
  </x:si>
  <x:si>
    <x:t xml:space="preserve">기간(자동)</x:t>
  </x:si>
  <x:si>
    <x:t xml:space="preserve">계획률(자동)</x:t>
  </x:si>
  <x:si>
    <x:t xml:space="preserve">실제 완료 날짜</x:t>
  </x:si>
  <x:si>
    <x:t xml:space="preserve">완료율</x:t>
  </x:si>
  <x:si>
    <x:t xml:space="preserve">담당자</x:t>
  </x:si>
  <x:si>
    <x:t xml:space="preserve">산출물</x:t>
  </x:si>
  <x:si>
    <x:t xml:space="preserve">프로젝트</x:t>
  </x:si>
  <x:si>
    <x:t xml:space="preserve">프로젝트 계획</x:t>
  </x:si>
  <x:si>
    <x:t xml:space="preserve">WBS 작성</x:t>
  </x:si>
  <x:si>
    <x:t xml:space="preserve">기획</x:t>
  </x:si>
  <x:si>
    <x:t xml:space="preserve">진행일지·기획서 기반 장기 WBS 수립</x:t>
  </x:si>
  <x:si>
    <x:t xml:space="preserve">2026년 장기 WBS</x:t>
  </x:si>
  <x:si>
    <x:t xml:space="preserve">프로젝트 전체 진행율</x:t>
  </x:si>
  <x:si>
    <x:t xml:space="preserve">관리</x:t>
  </x:si>
  <x:si>
    <x:t xml:space="preserve">팀원 전체</x:t>
  </x:si>
  <x:si>
    <x:t xml:space="preserve">최종 서비스·발표 산출물</x:t>
  </x:si>
  <x:si>
    <x:t xml:space="preserve">멘토링</x:t>
  </x:si>
  <x:si>
    <x:t xml:space="preserve">OCR·KIE 멘토링</x:t>
  </x:si>
  <x:si>
    <x:t xml:space="preserve">멘토링 전</x:t>
  </x:si>
  <x:si>
    <x:t xml:space="preserve">고정 템플릿·더미 데이터·노이즈 기반 OCR/KIE 학습 가능성 질문 정리</x:t>
  </x:si>
  <x:si>
    <x:t xml:space="preserve">이승현</x:t>
  </x:si>
  <x:si>
    <x:t xml:space="preserve">OCR/KIE 멘토링 질문서</x:t>
  </x:si>
  <x:si>
    <x:t xml:space="preserve">멘토링 후</x:t>
  </x:si>
  <x:si>
    <x:t xml:space="preserve">Docling·Upstage OCR 비교 및 고정 양식 기반 OCR/KIE PoC 계획 수립</x:t>
  </x:si>
  <x:si>
    <x:t xml:space="preserve">이승현·이병희</x:t>
  </x:si>
  <x:si>
    <x:t xml:space="preserve">OCR/KIE 도구 비교표·PoC 계획</x:t>
  </x:si>
  <x:si>
    <x:t xml:space="preserve">데이터·ERD 멘토링</x:t>
  </x:si>
  <x:si>
    <x:t xml:space="preserve">OCR 원본 수치·항목 기본정보·관계성·영양성분·식단 데이터 요구사항 정리</x:t>
  </x:si>
  <x:si>
    <x:t xml:space="preserve">이승현·정수빈</x:t>
  </x:si>
  <x:si>
    <x:t xml:space="preserve">데이터 요구사항 목록</x:t>
  </x:si>
  <x:si>
    <x:t xml:space="preserve">인바디 해석 자료·ERD·의료 마이데이터 사례 기반 데이터 모델 보완</x:t>
  </x:si>
  <x:si>
    <x:t xml:space="preserve">김현호·이승현</x:t>
  </x:si>
  <x:si>
    <x:t xml:space="preserve">ERD·데이터 매핑표</x:t>
  </x:si>
  <x:si>
    <x:t xml:space="preserve">API 문서화 멘토링</x:t>
  </x:si>
  <x:si>
    <x:t xml:space="preserve">FastAPI API 명세 작성 범위와 엔드포인트 구조 점검</x:t>
  </x:si>
  <x:si>
    <x:t xml:space="preserve">김현호</x:t>
  </x:si>
  <x:si>
    <x:t xml:space="preserve">API 명세 요구사항</x:t>
  </x:si>
  <x:si>
    <x:t xml:space="preserve">Swagger·ReDoc 기반 API 명세 작성 방식 정리 및 개발 표준 반영</x:t>
  </x:si>
  <x:si>
    <x:t xml:space="preserve">Swagger·ReDoc 작성 가이드</x:t>
  </x:si>
  <x:si>
    <x:t xml:space="preserve">RAG 평가 멘토링</x:t>
  </x:si>
  <x:si>
    <x:t xml:space="preserve">종합분석 JSON의 판정·근거·출처·안전성 평가 항목과 예시 데이터 요구사항 정리</x:t>
  </x:si>
  <x:si>
    <x:t xml:space="preserve">이병희·이승현</x:t>
  </x:si>
  <x:si>
    <x:t xml:space="preserve">종합분석 JSON v1.1 검토 항목</x:t>
  </x:si>
  <x:si>
    <x:t xml:space="preserve">Ragas 평가와 JSON 계약·규칙·출처 일치성 검증 워크플로우 수립</x:t>
  </x:si>
  <x:si>
    <x:t xml:space="preserve">Ragas 평가 계획·JSON 계약 테스트안</x:t>
  </x:si>
  <x:si>
    <x:t xml:space="preserve">프로젝트 목표·핵심 서비스 범위 확정</x:t>
  </x:si>
  <x:si>
    <x:t xml:space="preserve">서비스 범위 정의서</x:t>
  </x:si>
  <x:si>
    <x:t xml:space="preserve">주요 사용자 시나리오 및 요구사항 정의</x:t>
  </x:si>
  <x:si>
    <x:t xml:space="preserve">정수빈·이가희</x:t>
  </x:si>
  <x:si>
    <x:t xml:space="preserve">사용자 시나리오·요구사항 정의서</x:t>
  </x:si>
  <x:si>
    <x:t xml:space="preserve">김현호·정수빈</x:t>
  </x:si>
  <x:si>
    <x:t xml:space="preserve">기능 명세서·요구사항 명세서</x:t>
  </x:si>
  <x:si>
    <x:t xml:space="preserve">기존 종합분석 응답과 v1.1 선택 필드 7종의 데이터·AI 분석 범위 정의</x:t>
  </x:si>
  <x:si>
    <x:t xml:space="preserve">종합분석 JSON 명세 v1.1 제안·예시 JSON</x:t>
  </x:si>
  <x:si>
    <x:t xml:space="preserve">월별 WBS</x:t>
  </x:si>
  <x:si>
    <x:t xml:space="preserve">설계</x:t>
  </x:si>
  <x:si>
    <x:t xml:space="preserve">OCR 입력→분석→식단·운동 추천→이력 관리 흐름 설계</x:t>
  </x:si>
  <x:si>
    <x:t xml:space="preserve">서비스 기능 흐름도·상태 분기</x:t>
  </x:si>
  <x:si>
    <x:t xml:space="preserve">공통 와이어프레임·프로토타입 및 내비게이션 설계</x:t>
  </x:si>
  <x:si>
    <x:t xml:space="preserve">문서 업로드·OCR 결과 수정·건강분석 화면 설계</x:t>
  </x:si>
  <x:si>
    <x:t xml:space="preserve">Upload·OCR Result·Total Analysis 설계</x:t>
  </x:si>
  <x:si>
    <x:t xml:space="preserve">Exercise·Diet·Fridge·기록 화면 설계</x:t>
  </x:si>
  <x:si>
    <x:t xml:space="preserve">사용자·건강데이터·분석·추천·이력 저장 구조 설계</x:t>
  </x:si>
  <x:si>
    <x:t xml:space="preserve">44개 공개 테이블·무결성 트리거</x:t>
  </x:si>
  <x:si>
    <x:t xml:space="preserve">분석</x:t>
  </x:si>
  <x:si>
    <x:t xml:space="preserve">가상 인바디 데이터 변수·정상 범위·분류 기준 정의</x:t>
  </x:si>
  <x:si>
    <x:t xml:space="preserve">체성분·건강검진 지표 정의</x:t>
  </x:si>
  <x:si>
    <x:t xml:space="preserve">AI 기반 가상 체성분 데이터 생성·이상치 검증·CSV 구축</x:t>
  </x:si>
  <x:si>
    <x:t xml:space="preserve">4개 양식×5건 합성 데이터셋</x:t>
  </x:si>
  <x:si>
    <x:t xml:space="preserve">개인정보 제거 건강검진표·체성분표·처방전 샘플 확보</x:t>
  </x:si>
  <x:si>
    <x:t xml:space="preserve">공단 구·개정/인바디270·770 샘플</x:t>
  </x:si>
  <x:si>
    <x:t xml:space="preserve">건강·영양·운동·생활습관 공개 자료 수집·정리</x:t>
  </x:si>
  <x:si>
    <x:t xml:space="preserve">비식별·파일 형식·크기·검증 및 데이터 관리 정책 수립</x:t>
  </x:si>
  <x:si>
    <x:t xml:space="preserve">비식별·OCR 검수·확정 정책</x:t>
  </x:si>
  <x:si>
    <x:t xml:space="preserve">구현</x:t>
  </x:si>
  <x:si>
    <x:t xml:space="preserve">Python·FastAPI 기반 Backend 서버와 프로젝트 구조 구축</x:t>
  </x:si>
  <x:si>
    <x:t xml:space="preserve">Backend 자동 배포 서버</x:t>
  </x:si>
  <x:si>
    <x:t xml:space="preserve">회원가입·로그인·비밀번호 재설정·사용자 인증 API 구현</x:t>
  </x:si>
  <x:si>
    <x:t xml:space="preserve">Supabase 인증·프로필 API</x:t>
  </x:si>
  <x:si>
    <x:t xml:space="preserve">건강문서 등록·조회·수정·확정 및 confirmed 문서 연계 삭제 API 구현·로컬 검증</x:t>
  </x:si>
  <x:si>
    <x:t xml:space="preserve">건강문서 API·연계 삭제 RPC</x:t>
  </x:si>
  <x:si>
    <x:t xml:space="preserve">Supabase·건강/추천 이력 연동</x:t>
  </x:si>
  <x:si>
    <x:t xml:space="preserve">Swagger(OpenAPI) 기반 API 테스트 및 명세 문서화</x:t>
  </x:si>
  <x:si>
    <x:t xml:space="preserve">건강검진표·체성분표·처방전 이미지/PDF 업로드 기능</x:t>
  </x:si>
  <x:si>
    <x:t xml:space="preserve">김현호·이가희</x:t>
  </x:si>
  <x:si>
    <x:t xml:space="preserve">multipart 업로드·문서 조회</x:t>
  </x:si>
  <x:si>
    <x:t xml:space="preserve">공단 일반검진 구·개정본과 InBody270·770에서 주요 수치 추출(OCR v0.2.4)</x:t>
  </x:si>
  <x:si>
    <x:t xml:space="preserve">추출 결과 확인·수정·confirm 흐름 구현, 기준범위·막대 위치·SMI·체크박스 추출은 추가 작업</x:t>
  </x:si>
  <x:si>
    <x:t xml:space="preserve">OCR 검수·저장 기능·추가 추출 항목 설계</x:t>
  </x:si>
  <x:si>
    <x:t xml:space="preserve">Python 전처리와 Rule-Based 체성분 분석·관리 유형 분류</x:t>
  </x:si>
  <x:si>
    <x:t xml:space="preserve">체성분 상태 분류·지표 매핑</x:t>
  </x:si>
  <x:si>
    <x:t xml:space="preserve">기존 health-assessments 응답 유지, verdict·action_targets·data_basis 등 v1.1 선택 필드 적용 검토</x:t>
  </x:si>
  <x:si>
    <x:t xml:space="preserve">건강분석 API·JSON v1.1 적용안</x:t>
  </x:si>
  <x:si>
    <x:t xml:space="preserve">공개 건강정보 문서 분할·전처리 및 검색 기능 구현</x:t>
  </x:si>
  <x:si>
    <x:t xml:space="preserve">이병희</x:t>
  </x:si>
  <x:si>
    <x:t xml:space="preserve">Chroma 검색·RAG 데이터 적재</x:t>
  </x:si>
  <x:si>
    <x:t xml:space="preserve">식단·운동·생활습관 3개 영역 맞춤 건강 코칭 생성</x:t>
  </x:si>
  <x:si>
    <x:t xml:space="preserve">건강 코칭·챗 응답(오류 수정 중)</x:t>
  </x:si>
  <x:si>
    <x:t xml:space="preserve">이병희·김현호</x:t>
  </x:si>
  <x:si>
    <x:t xml:space="preserve">AI 서버·Backend 연동 API</x:t>
  </x:si>
  <x:si>
    <x:t xml:space="preserve">회원가입·로그인·마이페이지와 프로필 핵심 지표 바인딩 화면 구현</x:t>
  </x:si>
  <x:si>
    <x:t xml:space="preserve">회원·프로필 UI 구현 진행 중</x:t>
  </x:si>
  <x:si>
    <x:t xml:space="preserve">Upload·OCR Result(Checkup/InBody)·EditMode·Reupload 화면 구현</x:t>
  </x:si>
  <x:si>
    <x:t xml:space="preserve">OCR 업로드·보정 UI 구현 진행 중</x:t>
  </x:si>
  <x:si>
    <x:t xml:space="preserve">종합분석 핵심 지표·확장 화면·기준치/출처 바텀시트 구현</x:t>
  </x:si>
  <x:si>
    <x:t xml:space="preserve">종합분석·팝업 UI 구현 진행 중</x:t>
  </x:si>
  <x:si>
    <x:t xml:space="preserve">운동·식단·냉장고 UI 구현 진행 중</x:t>
  </x:si>
  <x:si>
    <x:t xml:space="preserve">이가희·김현호</x:t>
  </x:si>
  <x:si>
    <x:t xml:space="preserve">홈·이력·feedback 상태 UI 구현 진행 중</x:t>
  </x:si>
  <x:si>
    <x:t xml:space="preserve">테스트</x:t>
  </x:si>
  <x:si>
    <x:t xml:space="preserve">배포 서버 기반 부분 통합</x:t>
  </x:si>
  <x:si>
    <x:t xml:space="preserve">핵심 사용자 흐름 연동 중</x:t>
  </x:si>
  <x:si>
    <x:t xml:space="preserve">문서 유형별 OCR 추출 정확도·수정·저장 결과 검증</x:t>
  </x:si>
  <x:si>
    <x:t xml:space="preserve">이승현·김현호</x:t>
  </x:si>
  <x:si>
    <x:t xml:space="preserve">4개 양식 OCR 검증 결과</x:t>
  </x:si>
  <x:si>
    <x:t xml:space="preserve">이병희·정수빈</x:t>
  </x:si>
  <x:si>
    <x:t xml:space="preserve">AI 빈 응답·입력 예외 보완 중</x:t>
  </x:si>
  <x:si>
    <x:t xml:space="preserve">김현호·이병희</x:t>
  </x:si>
  <x:si>
    <x:t xml:space="preserve">배포 상태·응답시간 점검</x:t>
  </x:si>
  <x:si>
    <x:t xml:space="preserve">통합 테스트 피드백 기반 UI/UX·오류·예외 처리 개선</x:t>
  </x:si>
  <x:si>
    <x:t xml:space="preserve">이가희·팀원 전체</x:t>
  </x:si>
  <x:si>
    <x:t xml:space="preserve">멘토 피드백 UI 개선 목록</x:t>
  </x:si>
  <x:si>
    <x:t xml:space="preserve">주요 기능 안정화·잔여 오류 수정·최종 버전 고정</x:t>
  </x:si>
  <x:si>
    <x:t xml:space="preserve">최종 서비스 빌드</x:t>
  </x:si>
  <x:si>
    <x:t xml:space="preserve">테스트 사용자 데이터와 최종 서비스 시연 시나리오 구성</x:t>
  </x:si>
  <x:si>
    <x:t xml:space="preserve">정수빈·이승현</x:t>
  </x:si>
  <x:si>
    <x:t xml:space="preserve">시연 시나리오·테스트 데이터</x:t>
  </x:si>
  <x:si>
    <x:t xml:space="preserve">기획·설계·API·테스트·사용계획·정산 자료 최종 정리</x:t>
  </x:si>
  <x:si>
    <x:t xml:space="preserve">정수빈·팀원 전체</x:t>
  </x:si>
  <x:si>
    <x:t xml:space="preserve">최종 제출 산출물</x:t>
  </x:si>
  <x:si>
    <x:t xml:space="preserve">프로젝트 발표자료·데모 흐름·질의응답 자료 작성</x:t>
  </x:si>
  <x:si>
    <x:t xml:space="preserve">최종 발표자료</x:t>
  </x:si>
  <x:si>
    <x:t xml:space="preserve">Auto-Fit 프로젝트 진행일지 반영 내역</x:t>
  </x:si>
  <x:si>
    <x:t xml:space="preserve">2026년 8월 13일·18일·19일·21일·24일·25일·26일 PDF 원문 기준</x:t>
  </x:si>
  <x:si>
    <x:t xml:space="preserve">날짜</x:t>
  </x:si>
  <x:si>
    <x:t xml:space="preserve">회차</x:t>
  </x:si>
  <x:si>
    <x:t xml:space="preserve">작성자</x:t>
  </x:si>
  <x:si>
    <x:t xml:space="preserve">원문 진척률</x:t>
  </x:si>
  <x:si>
    <x:t xml:space="preserve">팀원</x:t>
  </x:si>
  <x:si>
    <x:t xml:space="preserve">역할</x:t>
  </x:si>
  <x:si>
    <x:t xml:space="preserve">일별 업무 내용</x:t>
  </x:si>
  <x:si>
    <x:t xml:space="preserve">백엔드 개발</x:t>
  </x:si>
  <x:si>
    <x:t xml:space="preserve">식품·영양 데이터 수집·정제 및 DB 구조·연동 방안 검토</x:t>
  </x:si>
  <x:si>
    <x:t xml:space="preserve">프론트엔드 개발</x:t>
  </x:si>
  <x:si>
    <x:t xml:space="preserve">Figma 와이어프레임 제작</x:t>
  </x:si>
  <x:si>
    <x:t xml:space="preserve">AI / LLM</x:t>
  </x:si>
  <x:si>
    <x:t xml:space="preserve">프로젝트 구조에 맞춘 베이스 코드 작성</x:t>
  </x:si>
  <x:si>
    <x:t xml:space="preserve">AI / 데이터</x:t>
  </x:si>
  <x:si>
    <x:t xml:space="preserve">OCR 분석용 인바디 데이터 이미지 제작</x:t>
  </x:si>
  <x:si>
    <x:t xml:space="preserve">PM / 기획 / 데이터</x:t>
  </x:si>
  <x:si>
    <x:t xml:space="preserve">법적 고지 및 약관 초안 작성</x:t>
  </x:si>
  <x:si>
    <x:t xml:space="preserve">회원가입·마이페이지 알레르기 필드 및 카카오 로그인 API 설계</x:t>
  </x:si>
  <x:si>
    <x:t xml:space="preserve">Figma 화면 수정사항 반영 및 프로토타입 고도화</x:t>
  </x:si>
  <x:si>
    <x:t xml:space="preserve">식단 추천 알레르기 필터링·인바디 JSON 연동 구조 검토</x:t>
  </x:si>
  <x:si>
    <x:t xml:space="preserve">OCR용 인바디 이미지 제작 및 데이터셋 구축</x:t>
  </x:si>
  <x:si>
    <x:t xml:space="preserve">요구사항 명세서 및 WBS에 회의 결정사항 반영</x:t>
  </x:si>
  <x:si>
    <x:t xml:space="preserve">알레르기 항목 및 카카오 로그인 연동 API 구성</x:t>
  </x:si>
  <x:si>
    <x:t xml:space="preserve">Figma 수정사항 반영 및 프로토타입 보완</x:t>
  </x:si>
  <x:si>
    <x:t xml:space="preserve">알레르기 필터링 및 인바디 JSON 연동 방식 검토</x:t>
  </x:si>
  <x:si>
    <x:t xml:space="preserve">인바디 결과지 이미지 수집 및 학습 데이터셋 구성</x:t>
  </x:si>
  <x:si>
    <x:t xml:space="preserve">요구사항 명세서·WBS 기반 회의 결정사항 반영</x:t>
  </x:si>
  <x:si>
    <x:t xml:space="preserve">운동 추천 기능 연계를 위한 백엔드 구조 검토</x:t>
  </x:si>
  <x:si>
    <x:t xml:space="preserve">운동 추천·콘텐츠 화면 구성 및 카메라 촬영 기능 UI 검토</x:t>
  </x:si>
  <x:si>
    <x:t xml:space="preserve">개인 맞춤형 운동 추천 로직 및 인바디·컨디션 활용 검토</x:t>
  </x:si>
  <x:si>
    <x:t xml:space="preserve">인바디·운동 데이터 활용 구조 및 운동 콘텐츠 데이터 검토</x:t>
  </x:si>
  <x:si>
    <x:t xml:space="preserve">운동 콘텐츠 전문성·핵심 기능 우선순위 및 WBS 반영</x:t>
  </x:si>
  <x:si>
    <x:t xml:space="preserve">운동 맞춤 추천 기능 연계를 위한 백엔드 구조 검토</x:t>
  </x:si>
  <x:si>
    <x:t xml:space="preserve">운동 화면 와이어프레임 논의 및 방향성 설정</x:t>
  </x:si>
  <x:si>
    <x:t xml:space="preserve">개인 맞춤형 운동 추천 로직 검토</x:t>
  </x:si>
  <x:si>
    <x:t xml:space="preserve">인바디 및 운동 데이터 활용 구조 검토</x:t>
  </x:si>
  <x:si>
    <x:t xml:space="preserve">운동 콘텐츠 구성 논의 및 WBS 업데이트</x:t>
  </x:si>
  <x:si>
    <x:t xml:space="preserve">요구사항 분석서 작성 범위 및 핵심 기술 뼈대 검토</x:t>
  </x:si>
  <x:si>
    <x:t xml:space="preserve">Figma 화면 설계 및 디자인 작업 방식 검토</x:t>
  </x:si>
  <x:si>
    <x:t xml:space="preserve">기존 회의록·양식 기반 AI 문서 초안 작성 방안 검토</x:t>
  </x:si>
  <x:si>
    <x:t xml:space="preserve">GPT·Codex 초안 품질 및 서비스 화면 흐름 한계 검토</x:t>
  </x:si>
  <x:si>
    <x:t xml:space="preserve">기획 산출물 일정·사용계획서·정산자료 검토</x:t>
  </x:si>
  <x:si>
    <x:t xml:space="preserve">날짜별 핵심 회의 결정사항</x:t>
  </x:si>
  <x:si>
    <x:t xml:space="preserve">결정사항</x:t>
  </x:si>
  <x:si>
    <x:t xml:space="preserve">메인·내비게이션·주간/월간 리포트·OCR 업로드·마이페이지·알레르기 입력·식단 추천 구성 확정</x:t>
  </x:si>
  <x:si>
    <x:t xml:space="preserve">개발 방향과 양식 통일, 건강검진 데이터 활용 범위, OCR/FastAPI 연동, 서비스 핵심 방향 논의</x:t>
  </x:si>
  <x:si>
    <x:t xml:space="preserve">신규 파트 업무 점검, Figma 내비게이션 확정, 알레르기·인바디 입력 방식, 파트별 Action Item 수립</x:t>
  </x:si>
  <x:si>
    <x:t xml:space="preserve">AI 음식 인식·식단 추천, 운동 기능 범위, 월간 리포트와 사용자 기록 기능 논의</x:t>
  </x:si>
  <x:si>
    <x:t xml:space="preserve">운동 콘텐츠 전문성, 개인 맞춤형 운동, 자세 분석, 식단 기능 신뢰도와 핵심 기능 우선순위 결정</x:t>
  </x:si>
  <x:si>
    <x:t xml:space="preserve">건강분석 이후 서비스 흐름, 컨디션 직접 입력, 3D 운동 콘텐츠, 상태 변화 기반 운동 재조정 결정</x:t>
  </x:si>
  <x:si>
    <x:t xml:space="preserve">AI 문서 작성 방식, 요구사항 분석 방향, 제출 산출물·화면 설계, 8월 행정 일정과 자료 검토</x:t>
  </x:si>
  <x:si>
    <x:t xml:space="preserve">2026-09-28 최신 개발 반영 내역</x:t>
  </x:si>
  <x:si>
    <x:t xml:space="preserve">근거 상태</x:t>
  </x:si>
  <x:si>
    <x:t xml:space="preserve">업무 내용</x:t>
  </x:si>
  <x:si>
    <x:t xml:space="preserve">9월 업데이트</x:t>
  </x:si>
  <x:si>
    <x:t xml:space="preserve">팀 공유</x:t>
  </x:si>
  <x:si>
    <x:t xml:space="preserve">구현·배포</x:t>
  </x:si>
  <x:si>
    <x:t xml:space="preserve">Backend 자동 배포·Supabase 인증 확인, Swagger 48 paths/60 operations, 식단 카드 feedback 상태 복원 반영</x:t>
  </x:si>
  <x:si>
    <x:t xml:space="preserve">설계·연동</x:t>
  </x:si>
  <x:si>
    <x:t xml:space="preserve">Figma 최신 화면 구조 확정, 종합분석 key_metric/evidence 팝업 규칙과 식단 feedback 분기 연동 준비</x:t>
  </x:si>
  <x:si>
    <x:t xml:space="preserve">배포·보완</x:t>
  </x:si>
  <x:si>
    <x:t xml:space="preserve">AI 서버 배포, RAG 6개 문서 1,635 chunks 적재, /chat 빈 응답과 vector search 들여쓰기 오류 수정 필요</x:t>
  </x:si>
  <x:si>
    <x:t xml:space="preserve">검증 완료</x:t>
  </x:si>
  <x:si>
    <x:t xml:space="preserve">OCR v0.2.4 적용, 공단 구·개정/인바디270·770 4종 양식 20건 임시 검증 415/415 및 review_required 전달</x:t>
  </x:si>
  <x:si>
    <x:t xml:space="preserve">기획·정리</x:t>
  </x:si>
  <x:si>
    <x:t xml:space="preserve">Mock 입력→Prompt→AI 호출→식단 JSON 흐름, 성과 검증 지표와 멘토링 후속 항목을 산출문서에 정리</x:t>
  </x:si>
  <x:si>
    <x:t xml:space="preserve">2026-09-28 핵심 결정 및 미완료 항목</x:t>
  </x:si>
  <x:si>
    <x:t xml:space="preserve">결정·상태</x:t>
  </x:si>
  <x:si>
    <x:t xml:space="preserve">종합분석 화면은 Backend 응답 문구·지표 우선순위·판정을 그대로 표시하고 key_metric_keys 순서를 유지</x:t>
  </x:si>
  <x:si>
    <x:t xml:space="preserve">추가 지표 팝업은 고정 제목·설명을 사용하고 선택 근거의 evidence_metric_keys를 metrics.key에 매칭</x:t>
  </x:si>
  <x:si>
    <x:t xml:space="preserve">식단 입력은 metric_statuses·알레르기·goal.text·냉장고 재료를 사용하며 기타 선호/제한은 통합 입력으로 처리</x:t>
  </x:si>
  <x:si>
    <x:t xml:space="preserve">식단 카드 상태는 feedback.feedback_type을 우선하고 meal.status는 구버전 fallback으로만 사용</x:t>
  </x:si>
  <x:si>
    <x:t xml:space="preserve">OCR 1차 지원 양식은 공단 일반검진 구·개정본과 InBody270·770의 4종으로 고정</x:t>
  </x:si>
  <x:si>
    <x:t xml:space="preserve">confirmed 건강문서 삭제 API는 요청 상태이며 성공/실패 응답과 cascade 삭제 구현은 아직 확인 필요</x:t>
  </x:si>
  <x:si>
    <x:t xml:space="preserve">AI /chat 500과 topic 없는 vector search 오류, 미인증 분석 엔드포인트는 배포 전 보완 필요</x:t>
  </x:si>
  <x:si>
    <x:t xml:space="preserve">멘토 UX 의견은 개선 권고이며 확정 명세와 구분해 프로토타입 사용자 테스트 후 반영 범위 결정</x:t>
  </x:si>
  <x:si>
    <x:t xml:space="preserve">종합분석 v1.1은 기존 latest/popups 구조를 유지하면서 verdict·action_targets·excluded_options·data_basis·notice·key_metrics·근거 식별자를 선택 필드로 추가하는 제안</x:t>
  </x:si>
  <x:si>
    <x:t xml:space="preserve">명세·예시 JSON은 작성됐지만 혈압 기준 통일, 골격근량 판정, OCR 추가 추출, Backend·AI·Frontend 적용은 아직 구현·검증 필요</x:t>
  </x:si>
  <x:si>
    <x:t xml:space="preserve">실제 완료일 반영 근거</x:t>
  </x:si>
  <x:si>
    <x:t xml:space="preserve">완료일</x:t>
  </x:si>
  <x:si>
    <x:t xml:space="preserve">구분</x:t>
  </x:si>
  <x:si>
    <x:t xml:space="preserve">완료 항목</x:t>
  </x:si>
  <x:si>
    <x:t xml:space="preserve">담당</x:t>
  </x:si>
  <x:si>
    <x:t xml:space="preserve">근거</x:t>
  </x:si>
  <x:si>
    <x:t xml:space="preserve">처리</x:t>
  </x:si>
  <x:si>
    <x:t xml:space="preserve">비고</x:t>
  </x:si>
  <x:si>
    <x:t xml:space="preserve">기획·분석</x:t>
  </x:si>
  <x:si>
    <x:t xml:space="preserve">사용자 시나리오·기능 명세</x:t>
  </x:si>
  <x:si>
    <x:t xml:space="preserve">정수빈·이가희·김현호</x:t>
  </x:si>
  <x:si>
    <x:t xml:space="preserve">사용자 확인</x:t>
  </x:si>
  <x:si>
    <x:t xml:space="preserve">완료일 입력</x:t>
  </x:si>
  <x:si>
    <x:t xml:space="preserve">두 항목 모두 2026-09-08 완료</x:t>
  </x:si>
  <x:si>
    <x:t xml:space="preserve">UI/UX 범위</x:t>
  </x:si>
  <x:si>
    <x:t xml:space="preserve">기능 흐름·공통 UI/UX·건강데이터·추천 화면</x:t>
  </x:si>
  <x:si>
    <x:t xml:space="preserve">Figma 화면·레이어·상태 스펙</x:t>
  </x:si>
  <x:si>
    <x:t xml:space="preserve">업무 범위만 갱신</x:t>
  </x:si>
  <x:si>
    <x:t xml:space="preserve">정확한 완료일 미확인으로 날짜 미입력</x:t>
  </x:si>
  <x:si>
    <x:t xml:space="preserve">OCR 구현</x:t>
  </x:si>
  <x:si>
    <x:t xml:space="preserve">공단 구·개정본·InBody270·770 주요 수치 추출</x:t>
  </x:si>
  <x:si>
    <x:t xml:space="preserve">OCR v0.2.4·임시 20건 415/415</x:t>
  </x:si>
  <x:si>
    <x:t xml:space="preserve">추가 OCR 항목은 별도 진행</x:t>
  </x:si>
  <x:si>
    <x:t xml:space="preserve">Auto-Fit 장기 일정 근거</x:t>
  </x:si>
  <x:si>
    <x:t xml:space="preserve">구간</x:t>
  </x:si>
  <x:si>
    <x:t xml:space="preserve">기간</x:t>
  </x:si>
  <x:si>
    <x:t xml:space="preserve">기획서 일정</x:t>
  </x:si>
  <x:si>
    <x:t xml:space="preserve">WBS 적용 내용</x:t>
  </x:si>
  <x:si>
    <x:t xml:space="preserve">근거 문서</x:t>
  </x:si>
  <x:si>
    <x:t xml:space="preserve">1~4주</x:t>
  </x:si>
  <x:si>
    <x:t xml:space="preserve">2026-08-17 ~ 2026-09-11</x:t>
  </x:si>
  <x:si>
    <x:t xml:space="preserve">기획안 작성</x:t>
  </x:si>
  <x:si>
    <x:t xml:space="preserve">서비스 범위·요구사항·데이터/AI 범위</x:t>
  </x:si>
  <x:si>
    <x:t xml:space="preserve">기획발표용 기획서 p.11</x:t>
  </x:si>
  <x:si>
    <x:t xml:space="preserve">4~5주</x:t>
  </x:si>
  <x:si>
    <x:t xml:space="preserve">2026-09-07 ~ 2026-09-18</x:t>
  </x:si>
  <x:si>
    <x:t xml:space="preserve">기능 정의</x:t>
  </x:si>
  <x:si>
    <x:t xml:space="preserve">기능 명세·사용자 시나리오</x:t>
  </x:si>
  <x:si>
    <x:t xml:space="preserve">5~6주</x:t>
  </x:si>
  <x:si>
    <x:t xml:space="preserve">2026-09-14 ~ 2026-09-25</x:t>
  </x:si>
  <x:si>
    <x:t xml:space="preserve">설계(기능/흐름)</x:t>
  </x:si>
  <x:si>
    <x:t xml:space="preserve">서비스 기능 흐름 설계</x:t>
  </x:si>
  <x:si>
    <x:t xml:space="preserve">6~7주</x:t>
  </x:si>
  <x:si>
    <x:t xml:space="preserve">2026-09-21 ~ 2026-10-02</x:t>
  </x:si>
  <x:si>
    <x:t xml:space="preserve">UI/UX·Database 설계</x:t>
  </x:si>
  <x:si>
    <x:t xml:space="preserve">화면·프로토타입·ERD·DB 스키마</x:t>
  </x:si>
  <x:si>
    <x:t xml:space="preserve">7주</x:t>
  </x:si>
  <x:si>
    <x:t xml:space="preserve">2026-09-28 ~ 2026-10-02</x:t>
  </x:si>
  <x:si>
    <x:t xml:space="preserve">기획 발표</x:t>
  </x:si>
  <x:si>
    <x:t xml:space="preserve">기획 산출물 정리 및 발표</x:t>
  </x:si>
  <x:si>
    <x:t xml:space="preserve">8~13주</x:t>
  </x:si>
  <x:si>
    <x:t xml:space="preserve">2026-10-05 ~ 2026-11-13</x:t>
  </x:si>
  <x:si>
    <x:t xml:space="preserve">Backend·OCR·분석·RAG/AI·Frontend</x:t>
  </x:si>
  <x:si>
    <x:t xml:space="preserve">기획발표용 기획서 p.11, p.14~16</x:t>
  </x:si>
  <x:si>
    <x:t xml:space="preserve">13~15주</x:t>
  </x:si>
  <x:si>
    <x:t xml:space="preserve">2026-11-09 ~ 2026-11-27</x:t>
  </x:si>
  <x:si>
    <x:t xml:space="preserve">통합테스트 및 보완</x:t>
  </x:si>
  <x:si>
    <x:t xml:space="preserve">E2E·OCR·AI·성능·UI/UX 검증</x:t>
  </x:si>
  <x:si>
    <x:t xml:space="preserve">기획발표용 기획서 p.11, p.16</x:t>
  </x:si>
  <x:si>
    <x:t xml:space="preserve">16주</x:t>
  </x:si>
  <x:si>
    <x:t xml:space="preserve">2026-11-30 ~ 2026-12-04</x:t>
  </x:si>
  <x:si>
    <x:t xml:space="preserve">최종 발표</x:t>
  </x:si>
  <x:si>
    <x:t xml:space="preserve">안정화·산출물·발표자료·서비스 시연</x:t>
  </x:si>
  <x:si>
    <x:t xml:space="preserve">자료</x:t>
  </x:si>
  <x:si>
    <x:t xml:space="preserve">확인 범위</x:t>
  </x:si>
  <x:si>
    <x:t xml:space="preserve">WBS 반영 요약</x:t>
  </x:si>
  <x:si>
    <x:t xml:space="preserve">파일명</x:t>
  </x:si>
  <x:si>
    <x:t xml:space="preserve">프로젝트 기획서</x:t>
  </x:si>
  <x:si>
    <x:t xml:space="preserve">개발 내용·추진 전략</x:t>
  </x:si>
  <x:si>
    <x:t xml:space="preserve">요구사항→OCR/건강데이터→공공데이터/AI→운동/기록→행동 분석/대시보드→테스트/발표</x:t>
  </x:si>
  <x:si>
    <x:t xml:space="preserve">프로젝트 범위 기준</x:t>
  </x:si>
  <x:si>
    <x:t xml:space="preserve">AutoFit_프로젝트기획서_한컴독스_최종본 (2).pdf</x:t>
  </x:si>
  <x:si>
    <x:t xml:space="preserve">기획발표용 기획서</x:t>
  </x:si>
  <x:si>
    <x:t xml:space="preserve">개발 일정(16주)·기능별 수행 방법(9단계)</x:t>
  </x:si>
  <x:si>
    <x:t xml:space="preserve">주차별 장기 일정과 Backend·OCR·분석·RAG/AI·Frontend·테스트 세분화</x:t>
  </x:si>
  <x:si>
    <x:t xml:space="preserve">장기 일정 기준</x:t>
  </x:si>
  <x:si>
    <x:t xml:space="preserve">1.2._프로젝트기획서_실전(기획발표용)_기업1조_0825_v2.pdf</x:t>
  </x:si>
  <x:si>
    <x:t xml:space="preserve">프로젝트 진행일지</x:t>
  </x:si>
  <x:si>
    <x:t xml:space="preserve">2026-08-13~2026-08-26</x:t>
  </x:si>
  <x:si>
    <x:t xml:space="preserve">초기 실적·담당자·완료율 반영</x:t>
  </x:si>
  <x:si>
    <x:t xml:space="preserve">실적 근거</x:t>
  </x:si>
  <x:si>
    <x:t xml:space="preserve">7개 프로젝트 진행일지 PDF</x:t>
  </x:si>
  <x:si>
    <x:t xml:space="preserve">멘토 채팅</x:t>
  </x:si>
  <x:si>
    <x:t xml:space="preserve">2026-08-20</x:t>
  </x:si>
  <x:si>
    <x:t xml:space="preserve">OCR/KIE·데이터/ERD·API 문서화·RAG 평가 전후 작업 반영</x:t>
  </x:si>
  <x:si>
    <x:t xml:space="preserve">멘토링 근거</x:t>
  </x:si>
  <x:si>
    <x:t xml:space="preserve">정현석 멘토 채팅</x:t>
  </x:si>
  <x:si>
    <x:t xml:space="preserve">2026-09-28 최신 개발 근거</x:t>
  </x:si>
  <x:si>
    <x:t xml:space="preserve">상태</x:t>
  </x:si>
  <x:si>
    <x:t xml:space="preserve">API 명세</x:t>
  </x:si>
  <x:si>
    <x:t xml:space="preserve">48 paths·60 operations·7 tags</x:t>
  </x:si>
  <x:si>
    <x:t xml:space="preserve">건강문서·분석·운동·식단·채팅 API 진행률 갱신</x:t>
  </x:si>
  <x:si>
    <x:t xml:space="preserve">배포 기준</x:t>
  </x:si>
  <x:si>
    <x:t xml:space="preserve">Swagger /docs</x:t>
  </x:si>
  <x:si>
    <x:t xml:space="preserve">OCR v0.2.4</x:t>
  </x:si>
  <x:si>
    <x:t xml:space="preserve">공단 구·개정본, InBody270·770</x:t>
  </x:si>
  <x:si>
    <x:t xml:space="preserve">4개 양식×5건, 임시 데이터 415/415 및 review_required 처리</x:t>
  </x:si>
  <x:si>
    <x:t xml:space="preserve">OCR 팀 공유</x:t>
  </x:si>
  <x:si>
    <x:t xml:space="preserve">Backend 배포</x:t>
  </x:si>
  <x:si>
    <x:t xml:space="preserve">backend branch 자동 배포·rollback</x:t>
  </x:si>
  <x:si>
    <x:t xml:space="preserve">Supabase 인증 및 API 공용 개발 서버 연동</x:t>
  </x:si>
  <x:si>
    <x:t xml:space="preserve">운영 중</x:t>
  </x:si>
  <x:si>
    <x:t xml:space="preserve">deploy-status</x:t>
  </x:si>
  <x:si>
    <x:t xml:space="preserve">AI 배포</x:t>
  </x:si>
  <x:si>
    <x:t xml:space="preserve">/chat·/health-analysis·diet-refresh</x:t>
  </x:si>
  <x:si>
    <x:t xml:space="preserve">RAG 6문서 1,635 chunks; chat/vector 오류는 수정 필요</x:t>
  </x:si>
  <x:si>
    <x:t xml:space="preserve">부분 정상</x:t>
  </x:si>
  <x:si>
    <x:t xml:space="preserve">AI deploy-status</x:t>
  </x:si>
  <x:si>
    <x:t xml:space="preserve">Figma</x:t>
  </x:si>
  <x:si>
    <x:t xml:space="preserve">Home·OCR·종합분석·운동·식단</x:t>
  </x:si>
  <x:si>
    <x:t xml:space="preserve">화면별 컴포넌트·상태·인터랙션 스펙 반영</x:t>
  </x:si>
  <x:si>
    <x:t xml:space="preserve">설계 진행</x:t>
  </x:si>
  <x:si>
    <x:t xml:space="preserve">Auto-fit node 16-47</x:t>
  </x:si>
  <x:si>
    <x:t xml:space="preserve">차별화·성과검증·UX·수익화</x:t>
  </x:si>
  <x:si>
    <x:t xml:space="preserve">개선 권고를 후속 실행 항목으로 분리</x:t>
  </x:si>
  <x:si>
    <x:t xml:space="preserve">권고</x:t>
  </x:si>
  <x:si>
    <x:t xml:space="preserve">2026-09-27 멘토링</x:t>
  </x:si>
  <x:si>
    <x:t xml:space="preserve">종합분석 JSON 명세 v1.1</x:t>
  </x:si>
  <x:si>
    <x:t xml:space="preserve">기존 latest·popups + 선택 필드 7종</x:t>
  </x:si>
  <x:si>
    <x:t xml:space="preserve">판정·수치 목표·제외안·데이터 근거·고지·핵심 카드·출처 식별자 정의</x:t>
  </x:si>
  <x:si>
    <x:t xml:space="preserve">명세 완료·구현 전</x:t>
  </x:si>
  <x:si>
    <x:t xml:space="preserve">종합분석_JSON_명세.md</x:t>
  </x:si>
  <x:si>
    <x:t xml:space="preserve">종합분석 예시 JSON</x:t>
  </x:si>
  <x:si>
    <x:t xml:space="preserve">Figma 종합분석 화면 가상 데이터</x:t>
  </x:si>
  <x:si>
    <x:t xml:space="preserve">현재 필드와 v1.1 제안 필드의 Backend·AI·Frontend 계약 예시</x:t>
  </x:si>
  <x:si>
    <x:t xml:space="preserve">예시 완료·통합 검증 전</x:t>
  </x:si>
  <x:si>
    <x:t xml:space="preserve">total_analysis_example.json</x:t>
  </x:si>
  <x:si>
    <x:t xml:space="preserve">2026-08-20 멘토링 반영 내역</x:t>
  </x:si>
  <x:si>
    <x:t xml:space="preserve">정현석 멘토 채팅의 자료·질문·후속 작업을 WBS와 연결</x:t>
  </x:si>
  <x:si>
    <x:t xml:space="preserve">일시</x:t>
  </x:si>
  <x:si>
    <x:t xml:space="preserve">발신자</x:t>
  </x:si>
  <x:si>
    <x:t xml:space="preserve">주제</x:t>
  </x:si>
  <x:si>
    <x:t xml:space="preserve">멘토링 내용·자료</x:t>
  </x:si>
  <x:si>
    <x:t xml:space="preserve">링크</x:t>
  </x:si>
  <x:si>
    <x:t xml:space="preserve">WBS 반영</x:t>
  </x:si>
  <x:si>
    <x:t xml:space="preserve">2026-08-20 19:08</x:t>
  </x:si>
  <x:si>
    <x:t xml:space="preserve">정현석(멘토)</x:t>
  </x:si>
  <x:si>
    <x:t xml:space="preserve">OCR/KIE</x:t>
  </x:si>
  <x:si>
    <x:t xml:space="preserve">Docling 문서 처리·OCR 도구 참고</x:t>
  </x:si>
  <x:si>
    <x:t xml:space="preserve">https://docling-project.github.io/docling/</x:t>
  </x:si>
  <x:si>
    <x:t xml:space="preserve">Docling·Upstage OCR 비교 및 PoC 계획</x:t>
  </x:si>
  <x:si>
    <x:t xml:space="preserve">2026-08-20 19:19</x:t>
  </x:si>
  <x:si>
    <x:t xml:space="preserve">인바디 데이터</x:t>
  </x:si>
  <x:si>
    <x:t xml:space="preserve">인바디 결과지 항목과 기본 해석 정보 참고</x:t>
  </x:si>
  <x:si>
    <x:t xml:space="preserve">https://insight.kbinsure.co.kr/자세히-보아야-빠진다-인바디-결과지-보는-방법/</x:t>
  </x:si>
  <x:si>
    <x:t xml:space="preserve">체성분 항목 정의·관계성·영양 매핑</x:t>
  </x:si>
  <x:si>
    <x:t xml:space="preserve">데이터 모델</x:t>
  </x:si>
  <x:si>
    <x:t xml:space="preserve">Entity Relationship Diagram 작성 참고</x:t>
  </x:si>
  <x:si>
    <x:t xml:space="preserve">https://www.ssp.sh/brain/entity-relationship-diagram-erd/</x:t>
  </x:si>
  <x:si>
    <x:t xml:space="preserve">ERD·데이터 매핑표 작성</x:t>
  </x:si>
  <x:si>
    <x:t xml:space="preserve">의료 마이데이터</x:t>
  </x:si>
  <x:si>
    <x:t xml:space="preserve">의료·공공 마이데이터 실증 사례 참고</x:t>
  </x:si>
  <x:si>
    <x:t xml:space="preserve">https://blog.hectodata.co.kr/mydata_service2/</x:t>
  </x:si>
  <x:si>
    <x:t xml:space="preserve">건강데이터 흐름·권한·이력 구조 검토</x:t>
  </x:si>
  <x:si>
    <x:t xml:space="preserve">OCR 사례</x:t>
  </x:si>
  <x:si>
    <x:t xml:space="preserve">헬스케어 OCR 관련 사례 참고</x:t>
  </x:si>
  <x:si>
    <x:t xml:space="preserve">https://www.selvasai.com/newsnotice/?bmode=view&amp;idx=12281507</x:t>
  </x:si>
  <x:si>
    <x:t xml:space="preserve">OCR 도구 비교 근거 보강</x:t>
  </x:si>
  <x:si>
    <x:t xml:space="preserve">2026-08-20 19:38</x:t>
  </x:si>
  <x:si>
    <x:t xml:space="preserve">OCR 학습 데이터</x:t>
  </x:si>
  <x:si>
    <x:t xml:space="preserve">고정 템플릿에 더미 데이터를 적용하고 노이즈를 추가한 학습·검증 가능성 질문</x:t>
  </x:si>
  <x:si>
    <x:t xml:space="preserve">고정 양식·합성 데이터 기반 OCR/KIE 검증 계획</x:t>
  </x:si>
  <x:si>
    <x:t xml:space="preserve">2026-08-20 19:48</x:t>
  </x:si>
  <x:si>
    <x:t xml:space="preserve">OCR 도구</x:t>
  </x:si>
  <x:si>
    <x:t xml:space="preserve">Upstage OCR 검토 제안</x:t>
  </x:si>
  <x:si>
    <x:t xml:space="preserve">Docling·Upstage OCR 비교 항목 추가</x:t>
  </x:si>
  <x:si>
    <x:t xml:space="preserve">API 문서화</x:t>
  </x:si>
  <x:si>
    <x:t xml:space="preserve">FastAPI Swagger·ReDoc 명세 작성 참고</x:t>
  </x:si>
  <x:si>
    <x:t xml:space="preserve">https://jd6186.github.io/FastAPISwaggerSettingGuide/</x:t>
  </x:si>
  <x:si>
    <x:t xml:space="preserve">API 명세 작성 표준 수립</x:t>
  </x:si>
  <x:si>
    <x:t xml:space="preserve">2026-08-20 19:59</x:t>
  </x:si>
  <x:si>
    <x:t xml:space="preserve">RAG 평가</x:t>
  </x:si>
  <x:si>
    <x:t xml:space="preserve">Ragas 평가 지표·합성 테스트 데이터·품질 모니터링 참고</x:t>
  </x:si>
  <x:si>
    <x:t xml:space="preserve">https://www.ragas.io/</x:t>
  </x:si>
  <x:si>
    <x:t xml:space="preserve">RAG/LLM 평가 계획 및 테스트 워크플로우</x:t>
  </x:si>
  <x:si>
    <x:t xml:space="preserve">멘토링 주제별 전·후 작업 요약</x:t>
  </x:si>
  <x:si>
    <x:t xml:space="preserve">시작일</x:t>
  </x:si>
  <x:si>
    <x:t xml:space="preserve">예상 완료일</x:t>
  </x:si>
  <x:si>
    <x:t xml:space="preserve">현재 완료율</x:t>
  </x:si>
  <x:si>
    <x:t xml:space="preserve">OCR·KIE</x:t>
  </x:si>
  <x:si>
    <x:t xml:space="preserve">고정 템플릿·더미 데이터·노이즈 학습 질문 정리</x:t>
  </x:si>
  <x:si>
    <x:t xml:space="preserve">도구 비교표·PoC 계획</x:t>
  </x:si>
  <x:si>
    <x:t xml:space="preserve">데이터·ERD</x:t>
  </x:si>
  <x:si>
    <x:t xml:space="preserve">OCR 수치·항목·관계·영양·식단 데이터 요구사항 정리</x:t>
  </x:si>
  <x:si>
    <x:t xml:space="preserve">인바디·ERD·마이데이터 기반 모델 보완</x:t>
  </x:si>
  <x:si>
    <x:t xml:space="preserve">FastAPI 명세 범위·엔드포인트 구조 점검</x:t>
  </x:si>
  <x:si>
    <x:t xml:space="preserve">Swagger·ReDoc 작성 방식과 개발 표준 정리</x:t>
  </x:si>
  <x:si>
    <x:t xml:space="preserve">API 명세 작성 가이드</x:t>
  </x:si>
  <x:si>
    <x:t xml:space="preserve">추천 평가 항목·테스트 데이터 요구사항 정리</x:t>
  </x:si>
  <x:si>
    <x:t xml:space="preserve">Ragas 지표·합성 데이터·검증 흐름 수립</x:t>
  </x:si>
  <x:si>
    <x:t xml:space="preserve">Ragas 평가 계획서</x:t>
  </x:si>
  <x:si>
    <x:t xml:space="preserve">2026-09-27 멘토링 반영 내역 (개선 권고)</x:t>
  </x:si>
  <x:si>
    <x:t xml:space="preserve">2026-09-27</x:t>
  </x:si>
  <x:si>
    <x:t xml:space="preserve">기업 멘토</x:t>
  </x:si>
  <x:si>
    <x:t xml:space="preserve">핵심 가치</x:t>
  </x:si>
  <x:si>
    <x:t xml:space="preserve">핵심 기능을 먼저 완성하고 동일 데이터라도 이해하기 쉬운 해석과 표현으로 차별화</x:t>
  </x:si>
  <x:si>
    <x:t xml:space="preserve">건강점수·분석 메시지 중심 정보 구조 검토</x:t>
  </x:si>
  <x:si>
    <x:t xml:space="preserve">성과 검증</x:t>
  </x:si>
  <x:si>
    <x:t xml:space="preserve">앱 로그·사용자 평가로 기능 사용 패턴, 대화 주제, 반응을 수치화</x:t>
  </x:si>
  <x:si>
    <x:t xml:space="preserve">재사용 의향·추천 적합도·OCR·RAG 평가 계획</x:t>
  </x:si>
  <x:si>
    <x:t xml:space="preserve">홈·종합분석</x:t>
  </x:si>
  <x:si>
    <x:t xml:space="preserve">건강점수를 분석·운동·식단·리포트의 공통 축으로 두고 중복 AI 문구 축소</x:t>
  </x:si>
  <x:si>
    <x:t xml:space="preserve">대시보드·종합분석 UI 개선 목록</x:t>
  </x:si>
  <x:si>
    <x:t xml:space="preserve">식단·음식사진</x:t>
  </x:si>
  <x:si>
    <x:t xml:space="preserve">오늘 식단과 기록을 냉장고보다 우선하고 촬영→분석→검수·수정→기록 단계화</x:t>
  </x:si>
  <x:si>
    <x:t xml:space="preserve">식단/음식사진 사용자 흐름 보완</x:t>
  </x:si>
  <x:si>
    <x:t xml:space="preserve">이가희·이병희</x:t>
  </x:si>
  <x:si>
    <x:t xml:space="preserve">운동·리포트</x:t>
  </x:si>
  <x:si>
    <x:t xml:space="preserve">초보자 진입 장벽을 낮추고 운동 상태 구분과 다음 행동 한 가지를 명확하게 제시</x:t>
  </x:si>
  <x:si>
    <x:t xml:space="preserve">운동 상태·리포트 UI 개선</x:t>
  </x:si>
  <x:si>
    <x:t xml:space="preserve">이가희·정수빈</x:t>
  </x:si>
  <x:si>
    <x:t xml:space="preserve">수익화</x:t>
  </x:si>
  <x:si>
    <x:t xml:space="preserve">사용자·상품·시점 매핑 중심 광고와 비용 부담이 있는 리워드를 비교 검토</x:t>
  </x:si>
  <x:si>
    <x:t xml:space="preserve">사업모델 비교 항목으로 유지(미확정)</x:t>
  </x:si>
  <x:si>
    <x:t xml:space="preserve">멘토링 후속 실행 요약</x:t>
  </x:si>
  <x:si>
    <x:t xml:space="preserve">현재 상태</x:t>
  </x:si>
  <x:si>
    <x:t xml:space="preserve">후속 작업</x:t>
  </x:si>
  <x:si>
    <x:t xml:space="preserve">핵심 UX</x:t>
  </x:si>
  <x:si>
    <x:t xml:space="preserve">Figma 화면·상태 스펙 확보</x:t>
  </x:si>
  <x:si>
    <x:t xml:space="preserve">건강점수 중심 구조와 중복 문구 축소</x:t>
  </x:si>
  <x:si>
    <x:t xml:space="preserve">UI 개선 반영 목록</x:t>
  </x:si>
  <x:si>
    <x:t xml:space="preserve">목표 지표 초안 확보</x:t>
  </x:si>
  <x:si>
    <x:t xml:space="preserve">로그 이벤트·설문 문항·RAGAS 평가셋 정의</x:t>
  </x:si>
  <x:si>
    <x:t xml:space="preserve">성과 측정 계획서</x:t>
  </x:si>
  <x:si>
    <x:t xml:space="preserve">프로토타입 검증</x:t>
  </x:si>
  <x:si>
    <x:t xml:space="preserve">핵심 화면·API 부분 연동</x:t>
  </x:si>
  <x:si>
    <x:t xml:space="preserve">소형 모바일·단일/다중선택·전체 흐름 테스트</x:t>
  </x:si>
  <x:si>
    <x:t xml:space="preserve">사용자 테스트 결과</x:t>
  </x:si>
  <x:si>
    <x:t xml:space="preserve">광고·리워드 비교 단계</x:t>
  </x:si>
  <x:si>
    <x:t xml:space="preserve">핵심 기능 검증 후 사용자·상품 매핑 시나리오 구체화</x:t>
  </x:si>
  <x:si>
    <x:t xml:space="preserve">수익모델 비교안</x:t>
  </x:si>
  <x:si>
    <x:t xml:space="preserve">WBS 작성 및 월별 갱신 안내</x:t>
  </x:si>
  <x:si>
    <x:t xml:space="preserve">※ 파란색 자동 계산 셀은 수정하지 않습니다. 담당자는 매일 완료율을 갱신하고, 월말에는 진행일지 근거와 다음 달 예상 완료일을 반영합니다.</x:t>
  </x:si>
  <x:si>
    <x:t xml:space="preserve">주기</x:t>
  </x:si>
  <x:si>
    <x:t xml:space="preserve">작성 내용</x:t>
  </x:si>
  <x:si>
    <x:t xml:space="preserve">운영 기준</x:t>
  </x:si>
  <x:si>
    <x:t xml:space="preserve">프로젝트 시작</x:t>
  </x:si>
  <x:si>
    <x:t xml:space="preserve">기획·분석·설계·구현·테스트·발표의 큰 작업 단위 작성</x:t>
  </x:si>
  <x:si>
    <x:t xml:space="preserve">장기 일정 근거 시트의 16주 계획 사용</x:t>
  </x:si>
  <x:si>
    <x:t xml:space="preserve">매일</x:t>
  </x:si>
  <x:si>
    <x:t xml:space="preserve">각 담당자가 작업 종료 후 완료율·실제 완료일 갱신</x:t>
  </x:si>
  <x:si>
    <x:t xml:space="preserve">완료율 100%이면 실제 완료 날짜와 산출물 확인</x:t>
  </x:si>
  <x:si>
    <x:t xml:space="preserve">매주</x:t>
  </x:si>
  <x:si>
    <x:t xml:space="preserve">예상 완료일·지연 작업·다음 주 Action Item 점검</x:t>
  </x:si>
  <x:si>
    <x:t xml:space="preserve">계획률 100% 초과 셀은 일정 조정 검토</x:t>
  </x:si>
  <x:si>
    <x:t xml:space="preserve">매월</x:t>
  </x:si>
  <x:si>
    <x:t xml:space="preserve">해당 월 진행일지 추가 및 다음 달 세부 WBS 보정</x:t>
  </x:si>
  <x:si>
    <x:t xml:space="preserve">완료된 실적은 유지하고 향후 일정만 업데이트</x:t>
  </x:si>
  <x:si>
    <x:t xml:space="preserve">컬럼</x:t>
  </x:si>
  <x:si>
    <x:t xml:space="preserve">의미</x:t>
  </x:si>
  <x:si>
    <x:t xml:space="preserve">작성·수식 기준</x:t>
  </x:si>
  <x:si>
    <x:t xml:space="preserve">예상 작업 일수</x:t>
  </x:si>
  <x:si>
    <x:t xml:space="preserve">=예상 완료 날짜-시작 날짜+1</x:t>
  </x:si>
  <x:si>
    <x:t xml:space="preserve">계획률</x:t>
  </x:si>
  <x:si>
    <x:t xml:space="preserve">오늘 기준 일정 경과 비율</x:t>
  </x:si>
  <x:si>
    <x:t xml:space="preserve">=MAX(0,(TODAY()-시작 날짜)/(예상 완료 날짜-시작 날짜))</x:t>
  </x:si>
  <x:si>
    <x:t xml:space="preserve">작업이 실제 완료된 날짜</x:t>
  </x:si>
  <x:si>
    <x:t xml:space="preserve">완료 시 담당자가 입력</x:t>
  </x:si>
  <x:si>
    <x:t xml:space="preserve">실제 작업 완료 정도</x:t>
  </x:si>
  <x:si>
    <x:t xml:space="preserve">담당자가 매일 갱신</x:t>
  </x:si>
  <x:si>
    <x:t xml:space="preserve">해당 작업 수행 책임자</x:t>
  </x:si>
  <x:si>
    <x:t xml:space="preserve">직접 입력</x:t>
  </x:si>
  <x:si>
    <x:t xml:space="preserve">문서·코드·데이터·테스트 결과</x:t>
  </x:si>
  <x:si>
    <x:t xml:space="preserve">완료 시 실제 산출물명 확인</x:t>
  </x:si>
  <x:si>
    <x:t xml:space="preserve">프로젝트 전체 일정 경과 비율</x:t>
  </x:si>
  <x:si>
    <x:t xml:space="preserve">프로젝트 시작·최종일 기준 자동 계산</x:t>
  </x:si>
  <x:si>
    <x:t xml:space="preserve">최종일 변경</x:t>
  </x:si>
  <x:si>
    <x:t xml:space="preserve">공식 발표일 확정 시</x:t>
  </x:si>
  <x:si>
    <x:t xml:space="preserve">WBS H8과 관련 작업의 예상 완료 날짜를 수정</x:t>
  </x:si>
</x:sst>
</file>

<file path=xl/styles.xml><?xml version="1.0" encoding="utf-8"?>
<x:styleSheet xmlns:x="http://schemas.openxmlformats.org/spreadsheetml/2006/main">
  <x:numFmts count="5">
    <x:numFmt numFmtId="176" formatCode="yyyy\-mm\-dd"/>
    <x:numFmt numFmtId="177" formatCode="0&quot; 일&quot;"/>
    <x:numFmt numFmtId="200" formatCode="0%"/>
    <x:numFmt numFmtId="201" formatCode="yyyy-mm-dd"/>
    <x:numFmt numFmtId="202" formatCode="0"/>
  </x:numFmts>
  <x:fonts count="29">
    <x:font>
      <x:sz val="11"/>
      <x:color rgb="FF000000"/>
      <x:name val="Carlito"/>
    </x:font>
    <x:font>
      <x:b/>
      <x:sz val="11"/>
      <x:color rgb="FF6D4C41"/>
      <x:name val="Carlito"/>
    </x:font>
    <x:font>
      <x:sz val="11"/>
      <x:name val="Carlito"/>
    </x:font>
    <x:font>
      <x:b/>
      <x:sz val="11"/>
      <x:color rgb="FFFFFFFF"/>
      <x:name val="Carlito"/>
    </x:font>
    <x:font>
      <x:sz val="11"/>
      <x:color rgb="FF777777"/>
      <x:name val="Carlito"/>
    </x:font>
    <x:font>
      <x:b/>
      <x:sz val="11"/>
      <x:color rgb="FF1B5E20"/>
      <x:name val="Carlito"/>
    </x:font>
    <x:font>
      <x:sz val="11"/>
      <x:color rgb="FF424242"/>
      <x:name val="Carlito"/>
    </x:font>
    <x:font>
      <x:b/>
      <x:sz val="11"/>
      <x:color rgb="FF777777"/>
      <x:name val="Carlito"/>
    </x:font>
    <x:font>
      <x:b/>
      <x:sz val="11"/>
      <x:color rgb="FF424242"/>
      <x:name val="Carlito"/>
    </x:font>
    <x:font>
      <x:b/>
      <x:sz val="11"/>
      <x:color rgb="FFFFFFFF"/>
      <x:name val="Arial"/>
    </x:font>
    <x:font>
      <x:b/>
      <x:sz val="10"/>
      <x:color rgb="FFFFFFFF"/>
      <x:name val="Arial"/>
    </x:font>
    <x:font>
      <x:sz val="10"/>
      <x:color rgb="FF424242"/>
      <x:name val="Arial"/>
    </x:font>
    <x:font>
      <x:sz val="11"/>
      <x:color rgb="FF000000"/>
      <x:name val="Carlito"/>
    </x:font>
    <x:font>
      <x:sz val="8"/>
      <x:name val="돋움"/>
    </x:font>
    <x:font>
      <x:sz val="11"/>
      <x:color rgb="FF000000"/>
      <x:name val="맑은 고딕"/>
    </x:font>
    <x:font>
      <x:sz val="10"/>
      <x:color rgb="FF000000"/>
      <x:name val="맑은 고딕"/>
    </x:font>
    <x:font>
      <x:sz val="10"/>
      <x:color rgb="FF243746"/>
      <x:name val="맑은 고딕"/>
    </x:font>
    <x:font>
      <x:b/>
      <x:sz val="10"/>
      <x:color rgb="FF243746"/>
      <x:name val="맑은 고딕"/>
    </x:font>
    <x:font>
      <x:b/>
      <x:sz val="10"/>
      <x:color rgb="FF1C4965"/>
      <x:name val="맑은 고딕"/>
    </x:font>
    <x:font>
      <x:b/>
      <x:sz val="11"/>
      <x:name val="Carlito"/>
    </x:font>
    <x:font>
      <x:b/>
      <x:sz val="11"/>
      <x:color rgb="FF333333"/>
      <x:name val="Carlito"/>
    </x:font>
    <x:font>
      <x:sz val="11"/>
      <x:color rgb="FF333333"/>
      <x:name val="Carlito"/>
    </x:font>
    <x:font>
      <x:b/>
      <x:sz val="10"/>
      <x:color rgb="FF333333"/>
      <x:name val="맑은 고딕"/>
    </x:font>
    <x:font>
      <x:sz val="10"/>
      <x:color rgb="FF333333"/>
      <x:name val="맑은 고딕"/>
    </x:font>
    <x:font>
      <x:b/>
      <x:sz val="10"/>
      <x:color rgb="FF333333"/>
      <x:name val="Carlito"/>
    </x:font>
    <x:font>
      <x:sz val="10"/>
      <x:color rgb="FF333333"/>
      <x:name val="Carlito"/>
    </x:font>
    <x:font>
      <x:sz val="10"/>
      <x:color rgb="FFC00000"/>
      <x:name val="Carlito"/>
    </x:font>
    <x:font>
      <x:sz val="10"/>
      <x:color rgb="FF333333"/>
      <x:name val="Carlito"/>
    </x:font>
    <x:font>
      <x:sz val="10"/>
      <x:color rgb="FF333333"/>
      <x:name val="맑은 고딕"/>
    </x:font>
  </x:fonts>
  <x:fills count="56">
    <x:fill>
      <x:patternFill patternType="none"/>
    </x:fill>
    <x:fill>
      <x:patternFill patternType="gray125"/>
    </x:fill>
    <x:fill>
      <x:patternFill patternType="solid">
        <x:fgColor rgb="FFFFF4CC"/>
      </x:patternFill>
    </x:fill>
    <x:fill>
      <x:patternFill patternType="solid">
        <x:fgColor rgb="FF34A853"/>
      </x:patternFill>
    </x:fill>
    <x:fill>
      <x:patternFill patternType="solid">
        <x:fgColor rgb="FF2E7D32"/>
      </x:patternFill>
    </x:fill>
    <x:fill>
      <x:patternFill patternType="solid">
        <x:fgColor rgb="FFC8E6C9"/>
      </x:patternFill>
    </x:fill>
    <x:fill>
      <x:patternFill patternType="solid">
        <x:fgColor rgb="FF3D3D3D"/>
      </x:patternFill>
    </x:fill>
    <x:fill>
      <x:patternFill patternType="solid">
        <x:fgColor rgb="FFD9EAF7"/>
      </x:patternFill>
    </x:fill>
    <x:fill>
      <x:patternFill patternType="solid">
        <x:fgColor rgb="FFEFEFEF"/>
      </x:patternFill>
    </x:fill>
    <x:fill>
      <x:patternFill patternType="solid">
        <x:fgColor rgb="FFB7D7A8"/>
      </x:patternFill>
    </x:fill>
    <x:fill>
      <x:patternFill patternType="solid">
        <x:fgColor rgb="FFEA9999"/>
      </x:patternFill>
    </x:fill>
    <x:fill>
      <x:patternFill patternType="solid">
        <x:fgColor rgb="FF9FC5E8"/>
      </x:patternFill>
    </x:fill>
    <x:fill>
      <x:patternFill patternType="solid">
        <x:fgColor rgb="FFFCE5CD"/>
      </x:patternFill>
    </x:fill>
    <x:fill>
      <x:patternFill patternType="solid">
        <x:fgColor rgb="FFFFE599"/>
      </x:patternFill>
    </x:fill>
    <x:fill>
      <x:patternFill patternType="solid">
        <x:fgColor rgb="FFF4CCCC"/>
      </x:patternFill>
    </x:fill>
    <x:fill>
      <x:patternFill patternType="solid">
        <x:fgColor rgb="FFD9D2E9"/>
      </x:patternFill>
    </x:fill>
    <x:fill>
      <x:patternFill patternType="solid">
        <x:fgColor rgb="FFD5E8D4"/>
      </x:patternFill>
    </x:fill>
    <x:fill>
      <x:patternFill patternType="solid">
        <x:fgColor rgb="FF2E7D32"/>
      </x:patternFill>
    </x:fill>
    <x:fill>
      <x:patternFill patternType="solid">
        <x:fgColor rgb="FF3D3D3D"/>
      </x:patternFill>
    </x:fill>
    <x:fill>
      <x:patternFill patternType="solid">
        <x:fgColor rgb="FF2E7D32"/>
      </x:patternFill>
    </x:fill>
    <x:fill>
      <x:patternFill patternType="solid">
        <x:fgColor rgb="FF3D3D3D"/>
      </x:patternFill>
    </x:fill>
    <x:fill>
      <x:patternFill patternType="solid">
        <x:fgColor rgb="FFEAF1F8"/>
      </x:patternFill>
    </x:fill>
    <x:fill>
      <x:patternFill patternType="solid">
        <x:fgColor rgb="FFF1F5F9"/>
      </x:patternFill>
    </x:fill>
    <x:fill>
      <x:patternFill patternType="solid">
        <x:fgColor rgb="FFF1F6FA"/>
      </x:patternFill>
    </x:fill>
    <x:fill>
      <x:patternFill patternType="solid">
        <x:fgColor rgb="FFDCEAF3"/>
      </x:patternFill>
    </x:fill>
    <x:fill>
      <x:patternFill patternType="solid">
        <x:fgColor rgb="FFEDF4F9"/>
      </x:patternFill>
    </x:fill>
    <x:fill>
      <x:patternFill patternType="solid">
        <x:fgColor rgb="FFE6F0F6"/>
      </x:patternFill>
    </x:fill>
    <x:fill>
      <x:patternFill patternType="solid">
        <x:fgColor rgb="FFE8F3EE"/>
      </x:patternFill>
    </x:fill>
    <x:fill>
      <x:patternFill patternType="solid">
        <x:fgColor rgb="FFFFFFFF"/>
      </x:patternFill>
    </x:fill>
    <x:fill>
      <x:patternFill patternType="solid">
        <x:fgColor rgb="FFE2EDF0"/>
      </x:patternFill>
    </x:fill>
    <x:fill>
      <x:patternFill patternType="solid">
        <x:fgColor rgb="FFD9E6F3"/>
      </x:patternFill>
    </x:fill>
    <x:fill>
      <x:patternFill patternType="solid">
        <x:fgColor rgb="FFFFFFFF"/>
      </x:patternFill>
    </x:fill>
    <x:fill>
      <x:patternFill patternType="solid">
        <x:fgColor rgb="FFD3E5F1"/>
      </x:patternFill>
    </x:fill>
    <x:fill>
      <x:patternFill patternType="solid">
        <x:fgColor rgb="FFEAF3F9"/>
      </x:patternFill>
    </x:fill>
    <x:fill>
      <x:patternFill patternType="solid">
        <x:fgColor rgb="FFF3F6F9"/>
      </x:patternFill>
    </x:fill>
    <x:fill>
      <x:patternFill patternType="solid">
        <x:fgColor rgb="FFE1E5F1"/>
      </x:patternFill>
    </x:fill>
    <x:fill>
      <x:patternFill patternType="solid">
        <x:fgColor rgb="FFD5EAE5"/>
      </x:patternFill>
    </x:fill>
    <x:fill>
      <x:patternFill patternType="solid">
        <x:fgColor rgb="FFE9F5F3"/>
      </x:patternFill>
    </x:fill>
    <x:fill>
      <x:patternFill patternType="solid">
        <x:fgColor rgb="FFF0F3FA"/>
      </x:patternFill>
    </x:fill>
    <x:fill>
      <x:patternFill patternType="solid">
        <x:fgColor rgb="FFF1F0F7"/>
      </x:patternFill>
    </x:fill>
    <x:fill>
      <x:patternFill patternType="solid">
        <x:fgColor rgb="FFFFFFFF"/>
      </x:patternFill>
    </x:fill>
    <x:fill>
      <x:patternFill patternType="solid">
        <x:fgColor rgb="FFE7E6E6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  <x:fill>
      <x:patternFill patternType="solid">
        <x:fgColor rgb="FF9FC5E8"/>
      </x:patternFill>
    </x:fill>
    <x:fill>
      <x:patternFill patternType="solid">
        <x:fgColor rgb="FFC6E0B4"/>
      </x:patternFill>
    </x:fill>
    <x:fill>
      <x:patternFill patternType="solid">
        <x:fgColor rgb="FFF4CCCC"/>
      </x:patternFill>
    </x:fill>
    <x:fill>
      <x:patternFill patternType="solid">
        <x:fgColor rgb="FF9DC3E6"/>
      </x:patternFill>
    </x:fill>
    <x:fill>
      <x:patternFill patternType="solid">
        <x:fgColor rgb="FFFFE599"/>
      </x:patternFill>
    </x:fill>
    <x:fill>
      <x:patternFill patternType="solid">
        <x:fgColor rgb="FFA9D18E"/>
      </x:patternFill>
    </x:fill>
    <x:fill>
      <x:patternFill patternType="solid">
        <x:fgColor rgb="FFB4C6E7"/>
      </x:patternFill>
    </x:fill>
    <x:fill>
      <x:patternFill patternType="solid">
        <x:fgColor rgb="FFD9D2E9"/>
      </x:patternFill>
    </x:fill>
    <x:fill>
      <x:patternFill patternType="solid">
        <x:fgColor rgb="FFC9B2D9"/>
      </x:patternFill>
    </x:fill>
    <x:fill>
      <x:patternFill patternType="solid">
        <x:fgColor rgb="FFF9CB9C"/>
      </x:patternFill>
    </x:fill>
    <x:fill>
      <x:patternFill patternType="solid">
        <x:fgColor rgb="FFDCEAF7"/>
      </x:patternFill>
    </x:fill>
    <x:fill>
      <x:patternFill patternType="solid">
        <x:fgColor rgb="FFBFD8EE"/>
      </x:patternFill>
    </x:fill>
  </x:fills>
  <x:borders count="12">
    <x:border/>
    <x:border>
      <x:left style="thin">
        <x:color rgb="FF6E6E6E"/>
      </x:left>
      <x:top style="thin">
        <x:color rgb="FF6E6E6E"/>
      </x:top>
      <x:bottom style="thin">
        <x:color rgb="FF6E6E6E"/>
      </x:bottom>
    </x:border>
    <x:border>
      <x:top style="thin">
        <x:color rgb="FF6E6E6E"/>
      </x:top>
      <x:bottom style="thin">
        <x:color rgb="FF6E6E6E"/>
      </x:bottom>
    </x:border>
    <x:border>
      <x:right style="thin">
        <x:color rgb="FF6E6E6E"/>
      </x:right>
      <x:top style="thin">
        <x:color rgb="FF6E6E6E"/>
      </x:top>
      <x:bottom style="thin">
        <x:color rgb="FF6E6E6E"/>
      </x:bottom>
    </x:border>
    <x:border>
      <x:left style="thin">
        <x:color rgb="FF6E6E6E"/>
      </x:left>
      <x:right style="thin">
        <x:color rgb="FF6E6E6E"/>
      </x:right>
      <x:top style="thin">
        <x:color rgb="FF6E6E6E"/>
      </x:top>
      <x:bottom style="thin">
        <x:color rgb="FF6E6E6E"/>
      </x:bottom>
    </x:border>
    <x:border>
      <x:left style="thin">
        <x:color rgb="FF6E6E6E"/>
      </x:left>
      <x:right style="thin">
        <x:color rgb="FF6E6E6E"/>
      </x:right>
      <x:top style="thin">
        <x:color rgb="FF6E6E6E"/>
      </x:top>
    </x:border>
    <x:border>
      <x:left style="thin">
        <x:color rgb="FF6E6E6E"/>
      </x:left>
      <x:right style="thin">
        <x:color rgb="FF6E6E6E"/>
      </x:right>
      <x:bottom style="thin">
        <x:color rgb="FF6E6E6E"/>
      </x:bottom>
    </x:border>
    <x:border>
      <x:left style="thin">
        <x:color rgb="FF6E6E6E"/>
      </x:left>
      <x:right style="thin">
        <x:color rgb="FF6E6E6E"/>
      </x:right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  <x:border>
      <x:left style="thin">
        <x:color rgb="FFCCD8E1"/>
      </x:left>
      <x:right style="thin">
        <x:color rgb="FFCCD8E1"/>
      </x:right>
      <x:top style="thin">
        <x:color rgb="FFCCD8E1"/>
      </x:top>
      <x:bottom style="thin">
        <x:color rgb="FFCCD8E1"/>
      </x:bottom>
    </x:border>
    <x:border>
      <x:left style="thin">
        <x:color rgb="FF888888"/>
      </x:left>
      <x:right style="thin">
        <x:color rgb="FF888888"/>
      </x:right>
      <x:top style="thin">
        <x:color rgb="FF888888"/>
      </x:top>
      <x:bottom style="thin">
        <x:color rgb="FF888888"/>
      </x:bottom>
    </x:border>
    <x:border>
      <x:left style="thin">
        <x:color rgb="FFA8BACB"/>
      </x:left>
      <x:right style="thin">
        <x:color rgb="FFA8BACB"/>
      </x:right>
      <x:top style="thin">
        <x:color rgb="FFA8BACB"/>
      </x:top>
      <x:bottom style="thin">
        <x:color rgb="FFA8BACB"/>
      </x:bottom>
    </x:border>
  </x:borders>
  <x:cellStyleXfs count="2">
    <x:xf numFmtId="0" fontId="0" fillId="0" borderId="0"/>
    <x:xf numFmtId="0" fontId="12" fillId="0" borderId="0"/>
  </x:cellStyleXfs>
  <x:cellXfs count="498">
    <x:xf numFmtId="0" fontId="0" fillId="0" borderId="0" xfId="0"/>
    <x:xf numFmtId="0" fontId="3" fillId="3" borderId="4" xfId="1" applyFont="1" applyFill="1" applyBorder="1" applyAlignment="1">
      <x:alignment horizontal="center" vertical="center"/>
    </x:xf>
    <x:xf numFmtId="0" fontId="4" fillId="0" borderId="4" xfId="1" applyFont="1" applyBorder="1" applyAlignment="1">
      <x:alignment horizontal="center" vertical="center"/>
    </x:xf>
    <x:xf numFmtId="0" fontId="3" fillId="6" borderId="4" xfId="1" applyFont="1" applyFill="1" applyBorder="1" applyAlignment="1">
      <x:alignment horizontal="center" vertical="center"/>
    </x:xf>
    <x:xf numFmtId="176" fontId="4" fillId="0" borderId="4" xfId="1" applyNumberFormat="1" applyFont="1" applyBorder="1" applyAlignment="1">
      <x:alignment horizontal="center" vertical="center"/>
    </x:xf>
    <x:xf numFmtId="176" fontId="6" fillId="0" borderId="4" xfId="1" applyNumberFormat="1" applyFont="1" applyBorder="1" applyAlignment="1">
      <x:alignment horizontal="center" vertical="center"/>
    </x:xf>
    <x:xf numFmtId="0" fontId="6" fillId="0" borderId="4" xfId="1" applyFont="1" applyBorder="1" applyAlignment="1">
      <x:alignment vertical="center" wrapText="1"/>
    </x:xf>
    <x:xf numFmtId="0" fontId="6" fillId="0" borderId="4" xfId="1" applyFont="1" applyBorder="1" applyAlignment="1">
      <x:alignment horizontal="center" vertical="center"/>
    </x:xf>
    <x:xf numFmtId="9" fontId="6" fillId="0" borderId="4" xfId="1" applyNumberFormat="1" applyFont="1" applyBorder="1" applyAlignment="1">
      <x:alignment horizontal="center" vertical="center"/>
    </x:xf>
    <x:xf numFmtId="9" fontId="8" fillId="7" borderId="4" xfId="1" applyNumberFormat="1" applyFont="1" applyFill="1" applyBorder="1" applyAlignment="1">
      <x:alignment horizontal="center" vertical="center"/>
    </x:xf>
    <x:xf numFmtId="0" fontId="3" fillId="6" borderId="4" xfId="1" applyFont="1" applyFill="1" applyBorder="1" applyAlignment="1">
      <x:alignment horizontal="center" vertical="center" wrapText="1"/>
    </x:xf>
    <x:xf numFmtId="0" fontId="8" fillId="10" borderId="4" xfId="1" applyFont="1" applyFill="1" applyBorder="1" applyAlignment="1">
      <x:alignment horizontal="center" vertical="center" wrapText="1"/>
    </x:xf>
    <x:xf numFmtId="176" fontId="8" fillId="10" borderId="4" xfId="1" applyNumberFormat="1" applyFont="1" applyFill="1" applyBorder="1" applyAlignment="1">
      <x:alignment horizontal="center" vertical="center" wrapText="1"/>
    </x:xf>
    <x:xf numFmtId="176" fontId="6" fillId="0" borderId="4" xfId="1" applyNumberFormat="1" applyFont="1" applyBorder="1" applyAlignment="1">
      <x:alignment vertical="center" wrapText="1"/>
    </x:xf>
    <x:xf numFmtId="9" fontId="6" fillId="0" borderId="4" xfId="1" applyNumberFormat="1" applyFont="1" applyBorder="1" applyAlignment="1">
      <x:alignment vertical="center" wrapText="1"/>
    </x:xf>
    <x:xf numFmtId="177" fontId="8" fillId="7" borderId="4" xfId="1" applyNumberFormat="1" applyFont="1" applyFill="1" applyBorder="1" applyAlignment="1">
      <x:alignment horizontal="center" vertical="center" wrapText="1"/>
    </x:xf>
    <x:xf numFmtId="9" fontId="8" fillId="7" borderId="4" xfId="1" applyNumberFormat="1" applyFont="1" applyFill="1" applyBorder="1" applyAlignment="1">
      <x:alignment horizontal="center" vertical="center" wrapText="1"/>
    </x:xf>
    <x:xf numFmtId="9" fontId="8" fillId="10" borderId="4" xfId="1" applyNumberFormat="1" applyFont="1" applyFill="1" applyBorder="1" applyAlignment="1">
      <x:alignment horizontal="center" vertical="center" wrapText="1"/>
    </x:xf>
    <x:xf numFmtId="0" fontId="6" fillId="12" borderId="4" xfId="1" applyFont="1" applyFill="1" applyBorder="1" applyAlignment="1">
      <x:alignment horizontal="center" vertical="center" wrapText="1"/>
    </x:xf>
    <x:xf numFmtId="0" fontId="8" fillId="11" borderId="4" xfId="1" applyFont="1" applyFill="1" applyBorder="1" applyAlignment="1">
      <x:alignment horizontal="center" vertical="center"/>
    </x:xf>
    <x:xf numFmtId="177" fontId="6" fillId="7" borderId="4" xfId="1" applyNumberFormat="1" applyFont="1" applyFill="1" applyBorder="1" applyAlignment="1">
      <x:alignment horizontal="center" vertical="center"/>
    </x:xf>
    <x:xf numFmtId="9" fontId="6" fillId="7" borderId="4" xfId="1" applyNumberFormat="1" applyFont="1" applyFill="1" applyBorder="1" applyAlignment="1">
      <x:alignment horizontal="center" vertical="center"/>
    </x:xf>
    <x:xf numFmtId="0" fontId="6" fillId="0" borderId="4" xfId="1" applyFont="1" applyBorder="1" applyAlignment="1">
      <x:alignment horizontal="center" vertical="center" wrapText="1"/>
    </x:xf>
    <x:xf numFmtId="0" fontId="8" fillId="9" borderId="4" xfId="1" applyFont="1" applyFill="1" applyBorder="1" applyAlignment="1">
      <x:alignment horizontal="center" vertical="center"/>
    </x:xf>
    <x:xf numFmtId="0" fontId="8" fillId="8" borderId="4" xfId="1" applyFont="1" applyFill="1" applyBorder="1" applyAlignment="1">
      <x:alignment vertical="center" wrapText="1"/>
    </x:xf>
    <x:xf numFmtId="0" fontId="8" fillId="13" borderId="4" xfId="1" applyFont="1" applyFill="1" applyBorder="1" applyAlignment="1">
      <x:alignment horizontal="center" vertical="center"/>
    </x:xf>
    <x:xf numFmtId="0" fontId="8" fillId="14" borderId="4" xfId="1" applyFont="1" applyFill="1" applyBorder="1" applyAlignment="1">
      <x:alignment horizontal="center" vertical="center"/>
    </x:xf>
    <x:xf numFmtId="0" fontId="8" fillId="8" borderId="4" xfId="1" applyFont="1" applyFill="1" applyBorder="1" applyAlignment="1">
      <x:alignment horizontal="center" vertical="center"/>
    </x:xf>
    <x:xf numFmtId="0" fontId="8" fillId="15" borderId="4" xfId="1" applyFont="1" applyFill="1" applyBorder="1" applyAlignment="1">
      <x:alignment horizontal="center" vertical="center"/>
    </x:xf>
    <x:xf numFmtId="0" fontId="8" fillId="16" borderId="4" xfId="1" applyFont="1" applyFill="1" applyBorder="1" applyAlignment="1">
      <x:alignment horizontal="center" vertical="center"/>
    </x:xf>
    <x:xf numFmtId="0" fontId="0" fillId="0" borderId="0" xfId="1" applyFont="1" applyAlignment="1">
      <x:alignment vertical="center"/>
    </x:xf>
    <x:xf numFmtId="0" fontId="10" fillId="18" borderId="4" xfId="1" applyFont="1" applyFill="1" applyBorder="1" applyAlignment="1">
      <x:alignment horizontal="center" vertical="center" wrapText="1"/>
    </x:xf>
    <x:xf numFmtId="0" fontId="11" fillId="0" borderId="4" xfId="1" applyFont="1" applyBorder="1" applyAlignment="1">
      <x:alignment vertical="center"/>
    </x:xf>
    <x:xf numFmtId="0" fontId="11" fillId="0" borderId="4" xfId="1" applyFont="1" applyBorder="1" applyAlignment="1">
      <x:alignment vertical="center" wrapText="1"/>
    </x:xf>
    <x:xf numFmtId="176" fontId="11" fillId="0" borderId="4" xfId="1" applyNumberFormat="1" applyFont="1" applyBorder="1" applyAlignment="1">
      <x:alignment vertical="center"/>
    </x:xf>
    <x:xf numFmtId="176" fontId="11" fillId="0" borderId="4" xfId="1" applyNumberFormat="1" applyFont="1" applyBorder="1" applyAlignment="1">
      <x:alignment horizontal="center" vertical="center"/>
    </x:xf>
    <x:xf numFmtId="0" fontId="11" fillId="0" borderId="4" xfId="1" applyFont="1" applyBorder="1" applyAlignment="1">
      <x:alignment horizontal="center" vertical="center"/>
    </x:xf>
    <x:xf numFmtId="9" fontId="11" fillId="0" borderId="4" xfId="1" applyNumberFormat="1" applyFont="1" applyBorder="1" applyAlignment="1">
      <x:alignment vertical="center"/>
    </x:xf>
    <x:xf numFmtId="0" fontId="0" fillId="0" borderId="0" xfId="1" applyFont="1" applyAlignment="1">
      <x:alignment wrapText="1"/>
    </x:xf>
    <x:xf numFmtId="0" fontId="10" fillId="20" borderId="4" xfId="1" applyFont="1" applyFill="1" applyBorder="1" applyAlignment="1">
      <x:alignment horizontal="center" vertical="center" wrapText="1"/>
    </x:xf>
    <x:xf numFmtId="0" fontId="1" fillId="2" borderId="1" xfId="1" applyFont="1" applyFill="1" applyBorder="1" applyAlignment="1">
      <x:alignment horizontal="center" vertical="center" wrapText="1"/>
    </x:xf>
    <x:xf numFmtId="0" fontId="2" fillId="0" borderId="2" xfId="1" applyFont="1" applyBorder="1"/>
    <x:xf numFmtId="0" fontId="2" fillId="0" borderId="3" xfId="1" applyFont="1" applyBorder="1"/>
    <x:xf numFmtId="0" fontId="3" fillId="3" borderId="1" xfId="1" applyFont="1" applyFill="1" applyBorder="1" applyAlignment="1">
      <x:alignment horizontal="center" vertical="center"/>
    </x:xf>
    <x:xf numFmtId="0" fontId="4" fillId="0" borderId="1" xfId="1" applyFont="1" applyBorder="1" applyAlignment="1">
      <x:alignment horizontal="center" vertical="center"/>
    </x:xf>
    <x:xf numFmtId="0" fontId="7" fillId="0" borderId="1" xfId="1" applyFont="1" applyBorder="1" applyAlignment="1">
      <x:alignment horizontal="center" vertical="center"/>
    </x:xf>
    <x:xf numFmtId="0" fontId="8" fillId="8" borderId="5" xfId="1" applyFont="1" applyFill="1" applyBorder="1" applyAlignment="1">
      <x:alignment horizontal="center" vertical="center" wrapText="1"/>
    </x:xf>
    <x:xf numFmtId="0" fontId="2" fillId="0" borderId="6" xfId="1" applyFont="1" applyBorder="1"/>
    <x:xf numFmtId="0" fontId="8" fillId="9" borderId="5" xfId="1" applyFont="1" applyFill="1" applyBorder="1" applyAlignment="1">
      <x:alignment horizontal="center" vertical="center" wrapText="1"/>
    </x:xf>
    <x:xf numFmtId="0" fontId="2" fillId="0" borderId="7" xfId="1" applyFont="1" applyBorder="1"/>
    <x:xf numFmtId="0" fontId="8" fillId="11" borderId="5" xfId="1" applyFont="1" applyFill="1" applyBorder="1" applyAlignment="1">
      <x:alignment horizontal="center" vertical="center" wrapText="1"/>
    </x:xf>
    <x:xf numFmtId="0" fontId="8" fillId="14" borderId="5" xfId="1" applyFont="1" applyFill="1" applyBorder="1" applyAlignment="1">
      <x:alignment horizontal="center" vertical="center" wrapText="1"/>
    </x:xf>
    <x:xf numFmtId="0" fontId="8" fillId="15" borderId="5" xfId="1" applyFont="1" applyFill="1" applyBorder="1" applyAlignment="1">
      <x:alignment horizontal="center" vertical="center" wrapText="1"/>
    </x:xf>
    <x:xf numFmtId="0" fontId="8" fillId="13" borderId="5" xfId="1" applyFont="1" applyFill="1" applyBorder="1" applyAlignment="1">
      <x:alignment horizontal="center" vertical="center" wrapText="1"/>
    </x:xf>
    <x:xf numFmtId="0" fontId="6" fillId="0" borderId="1" xfId="1" applyFont="1" applyBorder="1" applyAlignment="1">
      <x:alignment vertical="center" wrapText="1"/>
    </x:xf>
    <x:xf numFmtId="0" fontId="3" fillId="4" borderId="0" xfId="1" applyFont="1" applyFill="1" applyAlignment="1">
      <x:alignment horizontal="center" vertical="center"/>
    </x:xf>
    <x:xf numFmtId="0" fontId="0" fillId="0" borderId="0" xfId="0"/>
    <x:xf numFmtId="0" fontId="5" fillId="5" borderId="0" xfId="1" applyFont="1" applyFill="1" applyAlignment="1">
      <x:alignment horizontal="center" vertical="center"/>
    </x:xf>
    <x:xf numFmtId="0" fontId="3" fillId="6" borderId="1" xfId="1" applyFont="1" applyFill="1" applyBorder="1" applyAlignment="1">
      <x:alignment horizontal="center" vertical="center"/>
    </x:xf>
    <x:xf numFmtId="0" fontId="9" fillId="17" borderId="0" xfId="1" applyFont="1" applyFill="1" applyAlignment="1">
      <x:alignment horizontal="center" vertical="center"/>
    </x:xf>
    <x:xf numFmtId="0" fontId="11" fillId="0" borderId="4" xfId="1" applyFont="1" applyBorder="1" applyAlignment="1">
      <x:alignment vertical="center" wrapText="1"/>
    </x:xf>
    <x:xf numFmtId="0" fontId="11" fillId="0" borderId="4" xfId="1" applyFont="1" applyBorder="1" applyAlignment="1">
      <x:alignment vertical="center"/>
    </x:xf>
    <x:xf numFmtId="0" fontId="9" fillId="19" borderId="0" xfId="1" applyFont="1" applyFill="1" applyAlignment="1">
      <x:alignment horizontal="center" vertical="center"/>
    </x:xf>
    <x:xf numFmtId="0" fontId="1" fillId="2" borderId="1" xfId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3" fillId="3" borderId="4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3" fillId="6" borderId="4" xfId="0" applyNumberFormat="1" applyFont="1" applyFill="1" applyBorder="1" applyAlignment="1">
      <x:alignment horizontal="center" vertical="center"/>
    </x:xf>
    <x:xf numFmtId="176" fontId="4" fillId="0" borderId="4" xfId="0" applyNumberFormat="1" applyFont="1" applyFill="1" applyBorder="1" applyAlignment="1">
      <x:alignment horizontal="center" vertical="center"/>
    </x:xf>
    <x:xf numFmtId="176" fontId="6" fillId="0" borderId="4" xfId="0" applyNumberFormat="1" applyFont="1" applyFill="1" applyBorder="1" applyAlignment="1">
      <x:alignment horizontal="center" vertical="center"/>
    </x:xf>
    <x:xf numFmtId="0" fontId="6" fillId="0" borderId="4" xfId="0" applyNumberFormat="1" applyFont="1" applyFill="1" applyBorder="1" applyAlignment="1">
      <x:alignment vertical="center" wrapText="1"/>
    </x:xf>
    <x:xf numFmtId="0" fontId="6" fillId="0" borderId="4" xfId="0" applyNumberFormat="1" applyFont="1" applyFill="1" applyBorder="1" applyAlignment="1">
      <x:alignment horizontal="center" vertical="center"/>
    </x:xf>
    <x:xf numFmtId="9" fontId="6" fillId="0" borderId="4" xfId="0" applyNumberFormat="1" applyFont="1" applyFill="1" applyBorder="1" applyAlignment="1">
      <x:alignment horizontal="center" vertical="center"/>
    </x:xf>
    <x:xf numFmtId="9" fontId="8" fillId="7" borderId="4" xfId="0" applyNumberFormat="1" applyFont="1" applyFill="1" applyBorder="1" applyAlignment="1">
      <x:alignment horizontal="center" vertical="center"/>
    </x:xf>
    <x:xf numFmtId="0" fontId="3" fillId="6" borderId="4" xfId="0" applyNumberFormat="1" applyFont="1" applyFill="1" applyBorder="1" applyAlignment="1">
      <x:alignment horizontal="center" vertical="center" wrapText="1"/>
    </x:xf>
    <x:xf numFmtId="0" fontId="8" fillId="10" borderId="4" xfId="0" applyNumberFormat="1" applyFont="1" applyFill="1" applyBorder="1" applyAlignment="1">
      <x:alignment horizontal="center" vertical="center" wrapText="1"/>
    </x:xf>
    <x:xf numFmtId="176" fontId="8" fillId="10" borderId="4" xfId="0" applyNumberFormat="1" applyFont="1" applyFill="1" applyBorder="1" applyAlignment="1">
      <x:alignment horizontal="center" vertical="center" wrapText="1"/>
    </x:xf>
    <x:xf numFmtId="176" fontId="6" fillId="0" borderId="4" xfId="0" applyNumberFormat="1" applyFont="1" applyFill="1" applyBorder="1" applyAlignment="1">
      <x:alignment vertical="center" wrapText="1"/>
    </x:xf>
    <x:xf numFmtId="9" fontId="6" fillId="0" borderId="4" xfId="0" applyNumberFormat="1" applyFont="1" applyFill="1" applyBorder="1" applyAlignment="1">
      <x:alignment vertical="center" wrapText="1"/>
    </x:xf>
    <x:xf numFmtId="177" fontId="8" fillId="7" borderId="4" xfId="0" applyNumberFormat="1" applyFont="1" applyFill="1" applyBorder="1" applyAlignment="1">
      <x:alignment horizontal="center" vertical="center" wrapText="1"/>
    </x:xf>
    <x:xf numFmtId="9" fontId="8" fillId="7" borderId="4" xfId="0" applyNumberFormat="1" applyFont="1" applyFill="1" applyBorder="1" applyAlignment="1">
      <x:alignment horizontal="center" vertical="center" wrapText="1"/>
    </x:xf>
    <x:xf numFmtId="9" fontId="8" fillId="10" borderId="4" xfId="0" applyNumberFormat="1" applyFont="1" applyFill="1" applyBorder="1" applyAlignment="1">
      <x:alignment horizontal="center" vertical="center" wrapText="1"/>
    </x:xf>
    <x:xf numFmtId="0" fontId="6" fillId="12" borderId="4" xfId="0" applyNumberFormat="1" applyFont="1" applyFill="1" applyBorder="1" applyAlignment="1">
      <x:alignment horizontal="center" vertical="center" wrapText="1"/>
    </x:xf>
    <x:xf numFmtId="0" fontId="8" fillId="11" borderId="4" xfId="0" applyNumberFormat="1" applyFont="1" applyFill="1" applyBorder="1" applyAlignment="1">
      <x:alignment horizontal="center" vertical="center"/>
    </x:xf>
    <x:xf numFmtId="177" fontId="6" fillId="7" borderId="4" xfId="0" applyNumberFormat="1" applyFont="1" applyFill="1" applyBorder="1" applyAlignment="1">
      <x:alignment horizontal="center" vertical="center"/>
    </x:xf>
    <x:xf numFmtId="9" fontId="6" fillId="7" borderId="4" xfId="0" applyNumberFormat="1" applyFont="1" applyFill="1" applyBorder="1" applyAlignment="1">
      <x:alignment horizontal="center" vertical="center"/>
    </x:xf>
    <x:xf numFmtId="0" fontId="6" fillId="0" borderId="4" xfId="0" applyNumberFormat="1" applyFont="1" applyFill="1" applyBorder="1" applyAlignment="1">
      <x:alignment horizontal="center" vertical="center" wrapText="1"/>
    </x:xf>
    <x:xf numFmtId="0" fontId="8" fillId="9" borderId="4" xfId="0" applyNumberFormat="1" applyFont="1" applyFill="1" applyBorder="1" applyAlignment="1">
      <x:alignment horizontal="center" vertical="center"/>
    </x:xf>
    <x:xf numFmtId="0" fontId="8" fillId="8" borderId="4" xfId="0" applyNumberFormat="1" applyFont="1" applyFill="1" applyBorder="1" applyAlignment="1">
      <x:alignment vertical="center" wrapText="1"/>
    </x:xf>
    <x:xf numFmtId="0" fontId="8" fillId="13" borderId="4" xfId="0" applyNumberFormat="1" applyFont="1" applyFill="1" applyBorder="1" applyAlignment="1">
      <x:alignment horizontal="center" vertical="center"/>
    </x:xf>
    <x:xf numFmtId="0" fontId="8" fillId="14" borderId="4" xfId="0" applyNumberFormat="1" applyFont="1" applyFill="1" applyBorder="1" applyAlignment="1">
      <x:alignment horizontal="center" vertical="center"/>
    </x:xf>
    <x:xf numFmtId="0" fontId="8" fillId="8" borderId="4" xfId="0" applyNumberFormat="1" applyFont="1" applyFill="1" applyBorder="1" applyAlignment="1">
      <x:alignment horizontal="center" vertical="center"/>
    </x:xf>
    <x:xf numFmtId="0" fontId="8" fillId="15" borderId="4" xfId="0" applyNumberFormat="1" applyFont="1" applyFill="1" applyBorder="1" applyAlignment="1">
      <x:alignment horizontal="center" vertical="center"/>
    </x:xf>
    <x:xf numFmtId="0" fontId="8" fillId="16" borderId="4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10" fillId="6" borderId="4" xfId="0" applyNumberFormat="1" applyFont="1" applyFill="1" applyBorder="1" applyAlignment="1">
      <x:alignment horizontal="center" vertical="center" wrapText="1"/>
    </x:xf>
    <x:xf numFmtId="0" fontId="11" fillId="0" borderId="4" xfId="0" applyNumberFormat="1" applyFont="1" applyFill="1" applyBorder="1" applyAlignment="1">
      <x:alignment vertical="center"/>
    </x:xf>
    <x:xf numFmtId="0" fontId="11" fillId="0" borderId="4" xfId="0" applyNumberFormat="1" applyFont="1" applyFill="1" applyBorder="1" applyAlignment="1">
      <x:alignment vertical="center" wrapText="1"/>
    </x:xf>
    <x:xf numFmtId="176" fontId="11" fillId="0" borderId="4" xfId="0" applyNumberFormat="1" applyFont="1" applyFill="1" applyBorder="1" applyAlignment="1">
      <x:alignment vertical="center"/>
    </x:xf>
    <x:xf numFmtId="176" fontId="11" fillId="0" borderId="4" xfId="0" applyNumberFormat="1" applyFont="1" applyFill="1" applyBorder="1" applyAlignment="1">
      <x:alignment horizontal="center" vertical="center"/>
    </x:xf>
    <x:xf numFmtId="0" fontId="11" fillId="0" borderId="4" xfId="0" applyNumberFormat="1" applyFont="1" applyFill="1" applyBorder="1" applyAlignment="1">
      <x:alignment horizontal="center" vertical="center"/>
    </x:xf>
    <x:xf numFmtId="9" fontId="11" fillId="0" borderId="4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3" fillId="3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 vertical="center"/>
    </x:xf>
    <x:xf numFmtId="0" fontId="8" fillId="8" borderId="5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/>
    <x:xf numFmtId="0" fontId="8" fillId="9" borderId="5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/>
    <x:xf numFmtId="0" fontId="8" fillId="11" borderId="5" xfId="0" applyNumberFormat="1" applyFont="1" applyFill="1" applyBorder="1" applyAlignment="1">
      <x:alignment horizontal="center" vertical="center" wrapText="1"/>
    </x:xf>
    <x:xf numFmtId="0" fontId="8" fillId="14" borderId="5" xfId="0" applyNumberFormat="1" applyFont="1" applyFill="1" applyBorder="1" applyAlignment="1">
      <x:alignment horizontal="center" vertical="center" wrapText="1"/>
    </x:xf>
    <x:xf numFmtId="0" fontId="8" fillId="15" borderId="5" xfId="0" applyNumberFormat="1" applyFont="1" applyFill="1" applyBorder="1" applyAlignment="1">
      <x:alignment horizontal="center" vertical="center" wrapText="1"/>
    </x:xf>
    <x:xf numFmtId="0" fontId="8" fillId="13" borderId="5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3" fillId="6" borderId="1" xfId="0" applyNumberFormat="1" applyFont="1" applyFill="1" applyBorder="1" applyAlignment="1">
      <x:alignment horizontal="center" vertical="center"/>
    </x:xf>
    <x:xf numFmtId="0" fontId="9" fillId="4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/>
    <x:xf numFmtId="0" fontId="0" fillId="22" borderId="0" xfId="0" applyNumberFormat="1" applyFont="1" applyFill="1" applyBorder="1"/>
    <x:xf numFmtId="0" fontId="0" fillId="23" borderId="0" xfId="0" applyNumberFormat="1" applyFont="1" applyFill="1" applyBorder="1"/>
    <x:xf numFmtId="0" fontId="0" fillId="23" borderId="0" xfId="0" applyNumberFormat="1" applyFont="1" applyFill="1" applyBorder="1" applyAlignment="1">
      <x:alignment wrapText="1"/>
    </x:xf>
    <x:xf numFmtId="0" fontId="14" fillId="23" borderId="0" xfId="0" applyNumberFormat="1" applyFont="1" applyFill="1" applyBorder="1"/>
    <x:xf numFmtId="0" fontId="14" fillId="23" borderId="0" xfId="0" applyNumberFormat="1" applyFont="1" applyFill="1" applyBorder="1" applyAlignment="1">
      <x:alignment wrapText="1"/>
    </x:xf>
    <x:xf numFmtId="0" fontId="15" fillId="23" borderId="0" xfId="0" applyNumberFormat="1" applyFont="1" applyFill="1" applyBorder="1"/>
    <x:xf numFmtId="0" fontId="15" fillId="23" borderId="0" xfId="0" applyNumberFormat="1" applyFont="1" applyFill="1" applyBorder="1" applyAlignment="1">
      <x:alignment wrapText="1"/>
    </x:xf>
    <x:xf numFmtId="0" fontId="16" fillId="23" borderId="0" xfId="0" applyNumberFormat="1" applyFont="1" applyFill="1" applyBorder="1"/>
    <x:xf numFmtId="0" fontId="16" fillId="23" borderId="0" xfId="0" applyNumberFormat="1" applyFont="1" applyFill="1" applyBorder="1" applyAlignment="1">
      <x:alignment wrapText="1"/>
    </x:xf>
    <x:xf numFmtId="0" fontId="16" fillId="23" borderId="0" xfId="0" applyNumberFormat="1" applyFont="1" applyFill="1" applyBorder="1" applyAlignment="1">
      <x:alignment vertical="center" wrapText="1"/>
    </x:xf>
    <x:xf numFmtId="0" fontId="16" fillId="24" borderId="0" xfId="0" applyNumberFormat="1" applyFont="1" applyFill="1" applyBorder="1" applyAlignment="1">
      <x:alignment vertical="center" wrapText="1"/>
    </x:xf>
    <x:xf numFmtId="0" fontId="17" fillId="24" borderId="0" xfId="0" applyNumberFormat="1" applyFont="1" applyFill="1" applyBorder="1" applyAlignment="1">
      <x:alignment vertical="center" wrapText="1"/>
    </x:xf>
    <x:xf numFmtId="0" fontId="18" fillId="24" borderId="0" xfId="0" applyNumberFormat="1" applyFont="1" applyFill="1" applyBorder="1" applyAlignment="1">
      <x:alignment vertical="center" wrapText="1"/>
    </x:xf>
    <x:xf numFmtId="0" fontId="16" fillId="25" borderId="0" xfId="0" applyNumberFormat="1" applyFont="1" applyFill="1" applyBorder="1" applyAlignment="1">
      <x:alignment vertical="center" wrapText="1"/>
    </x:xf>
    <x:xf numFmtId="0" fontId="16" fillId="26" borderId="0" xfId="0" applyNumberFormat="1" applyFont="1" applyFill="1" applyBorder="1" applyAlignment="1">
      <x:alignment vertical="center" wrapText="1"/>
    </x:xf>
    <x:xf numFmtId="0" fontId="16" fillId="27" borderId="0" xfId="0" applyNumberFormat="1" applyFont="1" applyFill="1" applyBorder="1" applyAlignment="1">
      <x:alignment vertical="center" wrapText="1"/>
    </x:xf>
    <x:xf numFmtId="0" fontId="0" fillId="28" borderId="0" xfId="0" applyNumberFormat="1" applyFont="1" applyFill="1" applyBorder="1"/>
    <x:xf numFmtId="0" fontId="0" fillId="28" borderId="0" xfId="0" applyNumberFormat="1" applyFont="1" applyFill="1" applyBorder="1" applyAlignment="1">
      <x:alignment wrapText="1"/>
    </x:xf>
    <x:xf numFmtId="0" fontId="14" fillId="28" borderId="0" xfId="0" applyNumberFormat="1" applyFont="1" applyFill="1" applyBorder="1"/>
    <x:xf numFmtId="0" fontId="14" fillId="28" borderId="0" xfId="0" applyNumberFormat="1" applyFont="1" applyFill="1" applyBorder="1" applyAlignment="1">
      <x:alignment wrapText="1"/>
    </x:xf>
    <x:xf numFmtId="0" fontId="15" fillId="28" borderId="0" xfId="0" applyNumberFormat="1" applyFont="1" applyFill="1" applyBorder="1"/>
    <x:xf numFmtId="0" fontId="15" fillId="28" borderId="0" xfId="0" applyNumberFormat="1" applyFont="1" applyFill="1" applyBorder="1" applyAlignment="1">
      <x:alignment wrapText="1"/>
    </x:xf>
    <x:xf numFmtId="0" fontId="16" fillId="28" borderId="0" xfId="0" applyNumberFormat="1" applyFont="1" applyFill="1" applyBorder="1"/>
    <x:xf numFmtId="0" fontId="16" fillId="28" borderId="0" xfId="0" applyNumberFormat="1" applyFont="1" applyFill="1" applyBorder="1" applyAlignment="1">
      <x:alignment wrapText="1"/>
    </x:xf>
    <x:xf numFmtId="0" fontId="16" fillId="28" borderId="0" xfId="0" applyNumberFormat="1" applyFont="1" applyFill="1" applyBorder="1" applyAlignment="1">
      <x:alignment vertical="center" wrapText="1"/>
    </x:xf>
    <x:xf numFmtId="0" fontId="16" fillId="29" borderId="0" xfId="0" applyNumberFormat="1" applyFont="1" applyFill="1" applyBorder="1" applyAlignment="1">
      <x:alignment vertical="center" wrapText="1"/>
    </x:xf>
    <x:xf numFmtId="0" fontId="17" fillId="29" borderId="0" xfId="0" applyNumberFormat="1" applyFont="1" applyFill="1" applyBorder="1" applyAlignment="1">
      <x:alignment vertical="center" wrapText="1"/>
    </x:xf>
    <x:xf numFmtId="0" fontId="18" fillId="29" borderId="0" xfId="0" applyNumberFormat="1" applyFont="1" applyFill="1" applyBorder="1" applyAlignment="1">
      <x:alignment vertical="center" wrapText="1"/>
    </x:xf>
    <x:xf numFmtId="0" fontId="16" fillId="30" borderId="0" xfId="0" applyNumberFormat="1" applyFont="1" applyFill="1" applyBorder="1" applyAlignment="1">
      <x:alignment vertical="center" wrapText="1"/>
    </x:xf>
    <x:xf numFmtId="0" fontId="17" fillId="30" borderId="0" xfId="0" applyNumberFormat="1" applyFont="1" applyFill="1" applyBorder="1" applyAlignment="1">
      <x:alignment vertical="center" wrapText="1"/>
    </x:xf>
    <x:xf numFmtId="0" fontId="18" fillId="30" borderId="0" xfId="0" applyNumberFormat="1" applyFont="1" applyFill="1" applyBorder="1" applyAlignment="1">
      <x:alignment vertical="center" wrapText="1"/>
    </x:xf>
    <x:xf numFmtId="0" fontId="18" fillId="24" borderId="8" xfId="0" applyNumberFormat="1" applyFont="1" applyFill="1" applyBorder="1" applyAlignment="1">
      <x:alignment vertical="center" wrapText="1"/>
    </x:xf>
    <x:xf numFmtId="0" fontId="16" fillId="23" borderId="8" xfId="0" applyNumberFormat="1" applyFont="1" applyFill="1" applyBorder="1" applyAlignment="1">
      <x:alignment vertical="center" wrapText="1"/>
    </x:xf>
    <x:xf numFmtId="0" fontId="16" fillId="25" borderId="8" xfId="0" applyNumberFormat="1" applyFont="1" applyFill="1" applyBorder="1" applyAlignment="1">
      <x:alignment vertical="center" wrapText="1"/>
    </x:xf>
    <x:xf numFmtId="0" fontId="16" fillId="26" borderId="8" xfId="0" applyNumberFormat="1" applyFont="1" applyFill="1" applyBorder="1" applyAlignment="1">
      <x:alignment vertical="center" wrapText="1"/>
    </x:xf>
    <x:xf numFmtId="0" fontId="16" fillId="27" borderId="8" xfId="0" applyNumberFormat="1" applyFont="1" applyFill="1" applyBorder="1" applyAlignment="1">
      <x:alignment vertical="center" wrapText="1"/>
    </x:xf>
    <x:xf numFmtId="0" fontId="16" fillId="28" borderId="8" xfId="0" applyNumberFormat="1" applyFont="1" applyFill="1" applyBorder="1" applyAlignment="1">
      <x:alignment vertical="center" wrapText="1"/>
    </x:xf>
    <x:xf numFmtId="0" fontId="18" fillId="29" borderId="8" xfId="0" applyNumberFormat="1" applyFont="1" applyFill="1" applyBorder="1" applyAlignment="1">
      <x:alignment vertical="center" wrapText="1"/>
    </x:xf>
    <x:xf numFmtId="0" fontId="18" fillId="30" borderId="8" xfId="0" applyNumberFormat="1" applyFont="1" applyFill="1" applyBorder="1" applyAlignment="1">
      <x:alignment vertical="center" wrapText="1"/>
    </x:xf>
    <x:xf numFmtId="0" fontId="8" fillId="31" borderId="5" xfId="0" applyNumberFormat="1" applyFont="1" applyFill="1" applyBorder="1" applyAlignment="1">
      <x:alignment horizontal="center" vertical="center" wrapText="1"/>
    </x:xf>
    <x:xf numFmtId="0" fontId="6" fillId="31" borderId="4" xfId="0" applyNumberFormat="1" applyFont="1" applyFill="1" applyBorder="1" applyAlignment="1">
      <x:alignment horizontal="center" vertical="center" wrapText="1"/>
    </x:xf>
    <x:xf numFmtId="0" fontId="8" fillId="31" borderId="4" xfId="0" applyNumberFormat="1" applyFont="1" applyFill="1" applyBorder="1" applyAlignment="1">
      <x:alignment horizontal="center" vertical="center"/>
    </x:xf>
    <x:xf numFmtId="0" fontId="6" fillId="31" borderId="4" xfId="0" applyNumberFormat="1" applyFont="1" applyFill="1" applyBorder="1" applyAlignment="1">
      <x:alignment vertical="center" wrapText="1"/>
    </x:xf>
    <x:xf numFmtId="176" fontId="6" fillId="31" borderId="4" xfId="0" applyNumberFormat="1" applyFont="1" applyFill="1" applyBorder="1" applyAlignment="1">
      <x:alignment horizontal="center" vertical="center"/>
    </x:xf>
    <x:xf numFmtId="177" fontId="6" fillId="31" borderId="4" xfId="0" applyNumberFormat="1" applyFont="1" applyFill="1" applyBorder="1" applyAlignment="1">
      <x:alignment horizontal="center" vertical="center"/>
    </x:xf>
    <x:xf numFmtId="9" fontId="6" fillId="31" borderId="4" xfId="0" applyNumberFormat="1" applyFont="1" applyFill="1" applyBorder="1" applyAlignment="1">
      <x:alignment horizontal="center" vertical="center"/>
    </x:xf>
    <x:xf numFmtId="0" fontId="6" fillId="31" borderId="4" xfId="0" applyNumberFormat="1" applyFont="1" applyFill="1" applyBorder="1" applyAlignment="1">
      <x:alignment horizontal="center" vertical="center"/>
    </x:xf>
    <x:xf numFmtId="0" fontId="8" fillId="31" borderId="9" xfId="0" applyNumberFormat="1" applyFont="1" applyFill="1" applyBorder="1" applyAlignment="1">
      <x:alignment horizontal="center" vertical="center" wrapText="1"/>
    </x:xf>
    <x:xf numFmtId="0" fontId="6" fillId="31" borderId="9" xfId="0" applyNumberFormat="1" applyFont="1" applyFill="1" applyBorder="1" applyAlignment="1">
      <x:alignment horizontal="center" vertical="center" wrapText="1"/>
    </x:xf>
    <x:xf numFmtId="0" fontId="8" fillId="31" borderId="9" xfId="0" applyNumberFormat="1" applyFont="1" applyFill="1" applyBorder="1" applyAlignment="1">
      <x:alignment horizontal="center" vertical="center"/>
    </x:xf>
    <x:xf numFmtId="0" fontId="6" fillId="31" borderId="9" xfId="0" applyNumberFormat="1" applyFont="1" applyFill="1" applyBorder="1" applyAlignment="1">
      <x:alignment vertical="center" wrapText="1"/>
    </x:xf>
    <x:xf numFmtId="176" fontId="6" fillId="31" borderId="9" xfId="0" applyNumberFormat="1" applyFont="1" applyFill="1" applyBorder="1" applyAlignment="1">
      <x:alignment horizontal="center" vertical="center"/>
    </x:xf>
    <x:xf numFmtId="177" fontId="6" fillId="31" borderId="9" xfId="0" applyNumberFormat="1" applyFont="1" applyFill="1" applyBorder="1" applyAlignment="1">
      <x:alignment horizontal="center" vertical="center"/>
    </x:xf>
    <x:xf numFmtId="9" fontId="6" fillId="31" borderId="9" xfId="0" applyNumberFormat="1" applyFont="1" applyFill="1" applyBorder="1" applyAlignment="1">
      <x:alignment horizontal="center" vertical="center"/>
    </x:xf>
    <x:xf numFmtId="0" fontId="6" fillId="31" borderId="9" xfId="0" applyNumberFormat="1" applyFont="1" applyFill="1" applyBorder="1" applyAlignment="1">
      <x:alignment horizontal="center" vertical="center"/>
    </x:xf>
    <x:xf numFmtId="176" fontId="6" fillId="31" borderId="9" xfId="0" applyNumberFormat="1" applyFont="1" applyFill="1" applyBorder="1" applyAlignment="1">
      <x:alignment horizontal="center" vertical="center" wrapText="1"/>
    </x:xf>
    <x:xf numFmtId="177" fontId="6" fillId="31" borderId="9" xfId="0" applyNumberFormat="1" applyFont="1" applyFill="1" applyBorder="1" applyAlignment="1">
      <x:alignment horizontal="center" vertical="center" wrapText="1"/>
    </x:xf>
    <x:xf numFmtId="9" fontId="6" fillId="31" borderId="9" xfId="0" applyNumberFormat="1" applyFont="1" applyFill="1" applyBorder="1" applyAlignment="1">
      <x:alignment horizontal="center" vertical="center" wrapText="1"/>
    </x:xf>
    <x:xf numFmtId="0" fontId="8" fillId="32" borderId="9" xfId="0" applyNumberFormat="1" applyFont="1" applyFill="1" applyBorder="1" applyAlignment="1">
      <x:alignment horizontal="center" vertical="center" wrapText="1"/>
    </x:xf>
    <x:xf numFmtId="0" fontId="2" fillId="33" borderId="7" xfId="0" applyNumberFormat="1" applyFont="1" applyFill="1" applyBorder="1"/>
    <x:xf numFmtId="0" fontId="6" fillId="33" borderId="4" xfId="0" applyNumberFormat="1" applyFont="1" applyFill="1" applyBorder="1" applyAlignment="1">
      <x:alignment horizontal="center" vertical="center" wrapText="1"/>
    </x:xf>
    <x:xf numFmtId="0" fontId="8" fillId="33" borderId="4" xfId="0" applyNumberFormat="1" applyFont="1" applyFill="1" applyBorder="1" applyAlignment="1">
      <x:alignment horizontal="center" vertical="center"/>
    </x:xf>
    <x:xf numFmtId="0" fontId="6" fillId="33" borderId="4" xfId="0" applyNumberFormat="1" applyFont="1" applyFill="1" applyBorder="1" applyAlignment="1">
      <x:alignment vertical="center" wrapText="1"/>
    </x:xf>
    <x:xf numFmtId="176" fontId="6" fillId="33" borderId="4" xfId="0" applyNumberFormat="1" applyFont="1" applyFill="1" applyBorder="1" applyAlignment="1">
      <x:alignment horizontal="center" vertical="center"/>
    </x:xf>
    <x:xf numFmtId="177" fontId="6" fillId="33" borderId="4" xfId="0" applyNumberFormat="1" applyFont="1" applyFill="1" applyBorder="1" applyAlignment="1">
      <x:alignment horizontal="center" vertical="center"/>
    </x:xf>
    <x:xf numFmtId="9" fontId="6" fillId="33" borderId="4" xfId="0" applyNumberFormat="1" applyFont="1" applyFill="1" applyBorder="1" applyAlignment="1">
      <x:alignment horizontal="center" vertical="center"/>
    </x:xf>
    <x:xf numFmtId="0" fontId="6" fillId="33" borderId="4" xfId="0" applyNumberFormat="1" applyFont="1" applyFill="1" applyBorder="1" applyAlignment="1">
      <x:alignment horizontal="center" vertical="center"/>
    </x:xf>
    <x:xf numFmtId="0" fontId="2" fillId="33" borderId="9" xfId="0" applyNumberFormat="1" applyFont="1" applyFill="1" applyBorder="1"/>
    <x:xf numFmtId="0" fontId="6" fillId="33" borderId="9" xfId="0" applyNumberFormat="1" applyFont="1" applyFill="1" applyBorder="1" applyAlignment="1">
      <x:alignment horizontal="center" vertical="center" wrapText="1"/>
    </x:xf>
    <x:xf numFmtId="0" fontId="8" fillId="33" borderId="9" xfId="0" applyNumberFormat="1" applyFont="1" applyFill="1" applyBorder="1" applyAlignment="1">
      <x:alignment horizontal="center" vertical="center"/>
    </x:xf>
    <x:xf numFmtId="0" fontId="6" fillId="33" borderId="9" xfId="0" applyNumberFormat="1" applyFont="1" applyFill="1" applyBorder="1" applyAlignment="1">
      <x:alignment vertical="center" wrapText="1"/>
    </x:xf>
    <x:xf numFmtId="176" fontId="6" fillId="33" borderId="9" xfId="0" applyNumberFormat="1" applyFont="1" applyFill="1" applyBorder="1" applyAlignment="1">
      <x:alignment horizontal="center" vertical="center"/>
    </x:xf>
    <x:xf numFmtId="177" fontId="6" fillId="33" borderId="9" xfId="0" applyNumberFormat="1" applyFont="1" applyFill="1" applyBorder="1" applyAlignment="1">
      <x:alignment horizontal="center" vertical="center"/>
    </x:xf>
    <x:xf numFmtId="9" fontId="6" fillId="33" borderId="9" xfId="0" applyNumberFormat="1" applyFont="1" applyFill="1" applyBorder="1" applyAlignment="1">
      <x:alignment horizontal="center" vertical="center"/>
    </x:xf>
    <x:xf numFmtId="0" fontId="6" fillId="33" borderId="9" xfId="0" applyNumberFormat="1" applyFont="1" applyFill="1" applyBorder="1" applyAlignment="1">
      <x:alignment horizontal="center" vertical="center"/>
    </x:xf>
    <x:xf numFmtId="0" fontId="2" fillId="33" borderId="9" xfId="0" applyNumberFormat="1" applyFont="1" applyFill="1" applyBorder="1" applyAlignment="1">
      <x:alignment wrapText="1"/>
    </x:xf>
    <x:xf numFmtId="0" fontId="8" fillId="33" borderId="9" xfId="0" applyNumberFormat="1" applyFont="1" applyFill="1" applyBorder="1" applyAlignment="1">
      <x:alignment horizontal="center" vertical="center" wrapText="1"/>
    </x:xf>
    <x:xf numFmtId="176" fontId="6" fillId="33" borderId="9" xfId="0" applyNumberFormat="1" applyFont="1" applyFill="1" applyBorder="1" applyAlignment="1">
      <x:alignment horizontal="center" vertical="center" wrapText="1"/>
    </x:xf>
    <x:xf numFmtId="177" fontId="6" fillId="33" borderId="9" xfId="0" applyNumberFormat="1" applyFont="1" applyFill="1" applyBorder="1" applyAlignment="1">
      <x:alignment horizontal="center" vertical="center" wrapText="1"/>
    </x:xf>
    <x:xf numFmtId="9" fontId="6" fillId="33" borderId="9" xfId="0" applyNumberFormat="1" applyFont="1" applyFill="1" applyBorder="1" applyAlignment="1">
      <x:alignment horizontal="center" vertical="center" wrapText="1"/>
    </x:xf>
    <x:xf numFmtId="0" fontId="2" fillId="33" borderId="9" xfId="0" applyNumberFormat="1" applyFont="1" applyFill="1" applyBorder="1" applyAlignment="1">
      <x:alignment vertical="center" wrapText="1"/>
    </x:xf>
    <x:xf numFmtId="0" fontId="2" fillId="31" borderId="7" xfId="0" applyNumberFormat="1" applyFont="1" applyFill="1" applyBorder="1"/>
    <x:xf numFmtId="0" fontId="2" fillId="31" borderId="9" xfId="0" applyNumberFormat="1" applyFont="1" applyFill="1" applyBorder="1"/>
    <x:xf numFmtId="0" fontId="2" fillId="31" borderId="9" xfId="0" applyNumberFormat="1" applyFont="1" applyFill="1" applyBorder="1" applyAlignment="1">
      <x:alignment wrapText="1"/>
    </x:xf>
    <x:xf numFmtId="0" fontId="2" fillId="31" borderId="9" xfId="0" applyNumberFormat="1" applyFont="1" applyFill="1" applyBorder="1" applyAlignment="1">
      <x:alignment vertical="center" wrapText="1"/>
    </x:xf>
    <x:xf numFmtId="0" fontId="2" fillId="32" borderId="9" xfId="0" applyNumberFormat="1" applyFont="1" applyFill="1" applyBorder="1" applyAlignment="1">
      <x:alignment vertical="center" wrapText="1"/>
    </x:xf>
    <x:xf numFmtId="0" fontId="19" fillId="32" borderId="9" xfId="0" applyNumberFormat="1" applyFont="1" applyFill="1" applyBorder="1" applyAlignment="1">
      <x:alignment vertical="center" wrapText="1"/>
    </x:xf>
    <x:xf numFmtId="0" fontId="2" fillId="31" borderId="6" xfId="0" applyNumberFormat="1" applyFont="1" applyFill="1" applyBorder="1"/>
    <x:xf numFmtId="0" fontId="8" fillId="33" borderId="5" xfId="0" applyNumberFormat="1" applyFont="1" applyFill="1" applyBorder="1" applyAlignment="1">
      <x:alignment horizontal="center" vertical="center" wrapText="1"/>
    </x:xf>
    <x:xf numFmtId="0" fontId="2" fillId="33" borderId="6" xfId="0" applyNumberFormat="1" applyFont="1" applyFill="1" applyBorder="1"/>
    <x:xf numFmtId="0" fontId="2" fillId="34" borderId="7" xfId="0" applyNumberFormat="1" applyFont="1" applyFill="1" applyBorder="1"/>
    <x:xf numFmtId="0" fontId="6" fillId="34" borderId="4" xfId="0" applyNumberFormat="1" applyFont="1" applyFill="1" applyBorder="1" applyAlignment="1">
      <x:alignment horizontal="center" vertical="center" wrapText="1"/>
    </x:xf>
    <x:xf numFmtId="0" fontId="8" fillId="34" borderId="4" xfId="0" applyNumberFormat="1" applyFont="1" applyFill="1" applyBorder="1" applyAlignment="1">
      <x:alignment horizontal="center" vertical="center"/>
    </x:xf>
    <x:xf numFmtId="0" fontId="6" fillId="34" borderId="4" xfId="0" applyNumberFormat="1" applyFont="1" applyFill="1" applyBorder="1" applyAlignment="1">
      <x:alignment vertical="center" wrapText="1"/>
    </x:xf>
    <x:xf numFmtId="176" fontId="6" fillId="34" borderId="4" xfId="0" applyNumberFormat="1" applyFont="1" applyFill="1" applyBorder="1" applyAlignment="1">
      <x:alignment horizontal="center" vertical="center"/>
    </x:xf>
    <x:xf numFmtId="177" fontId="6" fillId="34" borderId="4" xfId="0" applyNumberFormat="1" applyFont="1" applyFill="1" applyBorder="1" applyAlignment="1">
      <x:alignment horizontal="center" vertical="center"/>
    </x:xf>
    <x:xf numFmtId="9" fontId="6" fillId="34" borderId="4" xfId="0" applyNumberFormat="1" applyFont="1" applyFill="1" applyBorder="1" applyAlignment="1">
      <x:alignment horizontal="center" vertical="center"/>
    </x:xf>
    <x:xf numFmtId="0" fontId="6" fillId="34" borderId="4" xfId="0" applyNumberFormat="1" applyFont="1" applyFill="1" applyBorder="1" applyAlignment="1">
      <x:alignment horizontal="center" vertical="center"/>
    </x:xf>
    <x:xf numFmtId="0" fontId="2" fillId="34" borderId="9" xfId="0" applyNumberFormat="1" applyFont="1" applyFill="1" applyBorder="1"/>
    <x:xf numFmtId="0" fontId="6" fillId="34" borderId="9" xfId="0" applyNumberFormat="1" applyFont="1" applyFill="1" applyBorder="1" applyAlignment="1">
      <x:alignment horizontal="center" vertical="center" wrapText="1"/>
    </x:xf>
    <x:xf numFmtId="0" fontId="8" fillId="34" borderId="9" xfId="0" applyNumberFormat="1" applyFont="1" applyFill="1" applyBorder="1" applyAlignment="1">
      <x:alignment horizontal="center" vertical="center"/>
    </x:xf>
    <x:xf numFmtId="0" fontId="6" fillId="34" borderId="9" xfId="0" applyNumberFormat="1" applyFont="1" applyFill="1" applyBorder="1" applyAlignment="1">
      <x:alignment vertical="center" wrapText="1"/>
    </x:xf>
    <x:xf numFmtId="176" fontId="6" fillId="34" borderId="9" xfId="0" applyNumberFormat="1" applyFont="1" applyFill="1" applyBorder="1" applyAlignment="1">
      <x:alignment horizontal="center" vertical="center"/>
    </x:xf>
    <x:xf numFmtId="177" fontId="6" fillId="34" borderId="9" xfId="0" applyNumberFormat="1" applyFont="1" applyFill="1" applyBorder="1" applyAlignment="1">
      <x:alignment horizontal="center" vertical="center"/>
    </x:xf>
    <x:xf numFmtId="9" fontId="6" fillId="34" borderId="9" xfId="0" applyNumberFormat="1" applyFont="1" applyFill="1" applyBorder="1" applyAlignment="1">
      <x:alignment horizontal="center" vertical="center"/>
    </x:xf>
    <x:xf numFmtId="0" fontId="6" fillId="34" borderId="9" xfId="0" applyNumberFormat="1" applyFont="1" applyFill="1" applyBorder="1" applyAlignment="1">
      <x:alignment horizontal="center" vertical="center"/>
    </x:xf>
    <x:xf numFmtId="0" fontId="2" fillId="34" borderId="9" xfId="0" applyNumberFormat="1" applyFont="1" applyFill="1" applyBorder="1" applyAlignment="1">
      <x:alignment wrapText="1"/>
    </x:xf>
    <x:xf numFmtId="0" fontId="8" fillId="34" borderId="9" xfId="0" applyNumberFormat="1" applyFont="1" applyFill="1" applyBorder="1" applyAlignment="1">
      <x:alignment horizontal="center" vertical="center" wrapText="1"/>
    </x:xf>
    <x:xf numFmtId="176" fontId="6" fillId="34" borderId="9" xfId="0" applyNumberFormat="1" applyFont="1" applyFill="1" applyBorder="1" applyAlignment="1">
      <x:alignment horizontal="center" vertical="center" wrapText="1"/>
    </x:xf>
    <x:xf numFmtId="177" fontId="6" fillId="34" borderId="9" xfId="0" applyNumberFormat="1" applyFont="1" applyFill="1" applyBorder="1" applyAlignment="1">
      <x:alignment horizontal="center" vertical="center" wrapText="1"/>
    </x:xf>
    <x:xf numFmtId="9" fontId="6" fillId="34" borderId="9" xfId="0" applyNumberFormat="1" applyFont="1" applyFill="1" applyBorder="1" applyAlignment="1">
      <x:alignment horizontal="center" vertical="center" wrapText="1"/>
    </x:xf>
    <x:xf numFmtId="0" fontId="2" fillId="34" borderId="9" xfId="0" applyNumberFormat="1" applyFont="1" applyFill="1" applyBorder="1" applyAlignment="1">
      <x:alignment vertical="center" wrapText="1"/>
    </x:xf>
    <x:xf numFmtId="0" fontId="2" fillId="35" borderId="9" xfId="0" applyNumberFormat="1" applyFont="1" applyFill="1" applyBorder="1" applyAlignment="1">
      <x:alignment vertical="center" wrapText="1"/>
    </x:xf>
    <x:xf numFmtId="0" fontId="19" fillId="35" borderId="9" xfId="0" applyNumberFormat="1" applyFont="1" applyFill="1" applyBorder="1" applyAlignment="1">
      <x:alignment vertical="center" wrapText="1"/>
    </x:xf>
    <x:xf numFmtId="0" fontId="8" fillId="34" borderId="5" xfId="0" applyNumberFormat="1" applyFont="1" applyFill="1" applyBorder="1" applyAlignment="1">
      <x:alignment horizontal="center" vertical="center" wrapText="1"/>
    </x:xf>
    <x:xf numFmtId="0" fontId="2" fillId="36" borderId="9" xfId="0" applyNumberFormat="1" applyFont="1" applyFill="1" applyBorder="1" applyAlignment="1">
      <x:alignment vertical="center" wrapText="1"/>
    </x:xf>
    <x:xf numFmtId="0" fontId="19" fillId="36" borderId="9" xfId="0" applyNumberFormat="1" applyFont="1" applyFill="1" applyBorder="1" applyAlignment="1">
      <x:alignment vertical="center" wrapText="1"/>
    </x:xf>
    <x:xf numFmtId="0" fontId="2" fillId="37" borderId="7" xfId="0" applyNumberFormat="1" applyFont="1" applyFill="1" applyBorder="1"/>
    <x:xf numFmtId="0" fontId="6" fillId="37" borderId="4" xfId="0" applyNumberFormat="1" applyFont="1" applyFill="1" applyBorder="1" applyAlignment="1">
      <x:alignment horizontal="center" vertical="center" wrapText="1"/>
    </x:xf>
    <x:xf numFmtId="0" fontId="8" fillId="37" borderId="4" xfId="0" applyNumberFormat="1" applyFont="1" applyFill="1" applyBorder="1" applyAlignment="1">
      <x:alignment horizontal="center" vertical="center"/>
    </x:xf>
    <x:xf numFmtId="0" fontId="6" fillId="37" borderId="4" xfId="0" applyNumberFormat="1" applyFont="1" applyFill="1" applyBorder="1" applyAlignment="1">
      <x:alignment vertical="center" wrapText="1"/>
    </x:xf>
    <x:xf numFmtId="176" fontId="6" fillId="37" borderId="4" xfId="0" applyNumberFormat="1" applyFont="1" applyFill="1" applyBorder="1" applyAlignment="1">
      <x:alignment horizontal="center" vertical="center"/>
    </x:xf>
    <x:xf numFmtId="177" fontId="6" fillId="37" borderId="4" xfId="0" applyNumberFormat="1" applyFont="1" applyFill="1" applyBorder="1" applyAlignment="1">
      <x:alignment horizontal="center" vertical="center"/>
    </x:xf>
    <x:xf numFmtId="9" fontId="6" fillId="37" borderId="4" xfId="0" applyNumberFormat="1" applyFont="1" applyFill="1" applyBorder="1" applyAlignment="1">
      <x:alignment horizontal="center" vertical="center"/>
    </x:xf>
    <x:xf numFmtId="0" fontId="6" fillId="37" borderId="4" xfId="0" applyNumberFormat="1" applyFont="1" applyFill="1" applyBorder="1" applyAlignment="1">
      <x:alignment horizontal="center" vertical="center"/>
    </x:xf>
    <x:xf numFmtId="0" fontId="2" fillId="37" borderId="9" xfId="0" applyNumberFormat="1" applyFont="1" applyFill="1" applyBorder="1"/>
    <x:xf numFmtId="0" fontId="6" fillId="37" borderId="9" xfId="0" applyNumberFormat="1" applyFont="1" applyFill="1" applyBorder="1" applyAlignment="1">
      <x:alignment horizontal="center" vertical="center" wrapText="1"/>
    </x:xf>
    <x:xf numFmtId="0" fontId="8" fillId="37" borderId="9" xfId="0" applyNumberFormat="1" applyFont="1" applyFill="1" applyBorder="1" applyAlignment="1">
      <x:alignment horizontal="center" vertical="center"/>
    </x:xf>
    <x:xf numFmtId="0" fontId="6" fillId="37" borderId="9" xfId="0" applyNumberFormat="1" applyFont="1" applyFill="1" applyBorder="1" applyAlignment="1">
      <x:alignment vertical="center" wrapText="1"/>
    </x:xf>
    <x:xf numFmtId="176" fontId="6" fillId="37" borderId="9" xfId="0" applyNumberFormat="1" applyFont="1" applyFill="1" applyBorder="1" applyAlignment="1">
      <x:alignment horizontal="center" vertical="center"/>
    </x:xf>
    <x:xf numFmtId="177" fontId="6" fillId="37" borderId="9" xfId="0" applyNumberFormat="1" applyFont="1" applyFill="1" applyBorder="1" applyAlignment="1">
      <x:alignment horizontal="center" vertical="center"/>
    </x:xf>
    <x:xf numFmtId="9" fontId="6" fillId="37" borderId="9" xfId="0" applyNumberFormat="1" applyFont="1" applyFill="1" applyBorder="1" applyAlignment="1">
      <x:alignment horizontal="center" vertical="center"/>
    </x:xf>
    <x:xf numFmtId="0" fontId="6" fillId="37" borderId="9" xfId="0" applyNumberFormat="1" applyFont="1" applyFill="1" applyBorder="1" applyAlignment="1">
      <x:alignment horizontal="center" vertical="center"/>
    </x:xf>
    <x:xf numFmtId="0" fontId="2" fillId="37" borderId="9" xfId="0" applyNumberFormat="1" applyFont="1" applyFill="1" applyBorder="1" applyAlignment="1">
      <x:alignment wrapText="1"/>
    </x:xf>
    <x:xf numFmtId="0" fontId="8" fillId="37" borderId="9" xfId="0" applyNumberFormat="1" applyFont="1" applyFill="1" applyBorder="1" applyAlignment="1">
      <x:alignment horizontal="center" vertical="center" wrapText="1"/>
    </x:xf>
    <x:xf numFmtId="176" fontId="6" fillId="37" borderId="9" xfId="0" applyNumberFormat="1" applyFont="1" applyFill="1" applyBorder="1" applyAlignment="1">
      <x:alignment horizontal="center" vertical="center" wrapText="1"/>
    </x:xf>
    <x:xf numFmtId="177" fontId="6" fillId="37" borderId="9" xfId="0" applyNumberFormat="1" applyFont="1" applyFill="1" applyBorder="1" applyAlignment="1">
      <x:alignment horizontal="center" vertical="center" wrapText="1"/>
    </x:xf>
    <x:xf numFmtId="9" fontId="6" fillId="37" borderId="9" xfId="0" applyNumberFormat="1" applyFont="1" applyFill="1" applyBorder="1" applyAlignment="1">
      <x:alignment horizontal="center" vertical="center" wrapText="1"/>
    </x:xf>
    <x:xf numFmtId="0" fontId="2" fillId="37" borderId="9" xfId="0" applyNumberFormat="1" applyFont="1" applyFill="1" applyBorder="1" applyAlignment="1">
      <x:alignment vertical="center" wrapText="1"/>
    </x:xf>
    <x:xf numFmtId="0" fontId="2" fillId="37" borderId="6" xfId="0" applyNumberFormat="1" applyFont="1" applyFill="1" applyBorder="1"/>
    <x:xf numFmtId="0" fontId="8" fillId="37" borderId="5" xfId="0" applyNumberFormat="1" applyFont="1" applyFill="1" applyBorder="1" applyAlignment="1">
      <x:alignment horizontal="center" vertical="center" wrapText="1"/>
    </x:xf>
    <x:xf numFmtId="0" fontId="8" fillId="35" borderId="9" xfId="0" applyNumberFormat="1" applyFont="1" applyFill="1" applyBorder="1" applyAlignment="1">
      <x:alignment horizontal="center" vertical="center" wrapText="1"/>
    </x:xf>
    <x:xf numFmtId="0" fontId="2" fillId="38" borderId="7" xfId="0" applyNumberFormat="1" applyFont="1" applyFill="1" applyBorder="1"/>
    <x:xf numFmtId="0" fontId="6" fillId="38" borderId="4" xfId="0" applyNumberFormat="1" applyFont="1" applyFill="1" applyBorder="1" applyAlignment="1">
      <x:alignment horizontal="center" vertical="center" wrapText="1"/>
    </x:xf>
    <x:xf numFmtId="0" fontId="8" fillId="38" borderId="4" xfId="0" applyNumberFormat="1" applyFont="1" applyFill="1" applyBorder="1" applyAlignment="1">
      <x:alignment horizontal="center" vertical="center"/>
    </x:xf>
    <x:xf numFmtId="0" fontId="6" fillId="38" borderId="4" xfId="0" applyNumberFormat="1" applyFont="1" applyFill="1" applyBorder="1" applyAlignment="1">
      <x:alignment vertical="center" wrapText="1"/>
    </x:xf>
    <x:xf numFmtId="176" fontId="6" fillId="38" borderId="4" xfId="0" applyNumberFormat="1" applyFont="1" applyFill="1" applyBorder="1" applyAlignment="1">
      <x:alignment horizontal="center" vertical="center"/>
    </x:xf>
    <x:xf numFmtId="177" fontId="6" fillId="38" borderId="4" xfId="0" applyNumberFormat="1" applyFont="1" applyFill="1" applyBorder="1" applyAlignment="1">
      <x:alignment horizontal="center" vertical="center"/>
    </x:xf>
    <x:xf numFmtId="9" fontId="6" fillId="38" borderId="4" xfId="0" applyNumberFormat="1" applyFont="1" applyFill="1" applyBorder="1" applyAlignment="1">
      <x:alignment horizontal="center" vertical="center"/>
    </x:xf>
    <x:xf numFmtId="0" fontId="6" fillId="38" borderId="4" xfId="0" applyNumberFormat="1" applyFont="1" applyFill="1" applyBorder="1" applyAlignment="1">
      <x:alignment horizontal="center" vertical="center"/>
    </x:xf>
    <x:xf numFmtId="0" fontId="2" fillId="38" borderId="9" xfId="0" applyNumberFormat="1" applyFont="1" applyFill="1" applyBorder="1"/>
    <x:xf numFmtId="0" fontId="6" fillId="38" borderId="9" xfId="0" applyNumberFormat="1" applyFont="1" applyFill="1" applyBorder="1" applyAlignment="1">
      <x:alignment horizontal="center" vertical="center" wrapText="1"/>
    </x:xf>
    <x:xf numFmtId="0" fontId="8" fillId="38" borderId="9" xfId="0" applyNumberFormat="1" applyFont="1" applyFill="1" applyBorder="1" applyAlignment="1">
      <x:alignment horizontal="center" vertical="center"/>
    </x:xf>
    <x:xf numFmtId="0" fontId="6" fillId="38" borderId="9" xfId="0" applyNumberFormat="1" applyFont="1" applyFill="1" applyBorder="1" applyAlignment="1">
      <x:alignment vertical="center" wrapText="1"/>
    </x:xf>
    <x:xf numFmtId="176" fontId="6" fillId="38" borderId="9" xfId="0" applyNumberFormat="1" applyFont="1" applyFill="1" applyBorder="1" applyAlignment="1">
      <x:alignment horizontal="center" vertical="center"/>
    </x:xf>
    <x:xf numFmtId="177" fontId="6" fillId="38" borderId="9" xfId="0" applyNumberFormat="1" applyFont="1" applyFill="1" applyBorder="1" applyAlignment="1">
      <x:alignment horizontal="center" vertical="center"/>
    </x:xf>
    <x:xf numFmtId="9" fontId="6" fillId="38" borderId="9" xfId="0" applyNumberFormat="1" applyFont="1" applyFill="1" applyBorder="1" applyAlignment="1">
      <x:alignment horizontal="center" vertical="center"/>
    </x:xf>
    <x:xf numFmtId="0" fontId="6" fillId="38" borderId="9" xfId="0" applyNumberFormat="1" applyFont="1" applyFill="1" applyBorder="1" applyAlignment="1">
      <x:alignment horizontal="center" vertical="center"/>
    </x:xf>
    <x:xf numFmtId="0" fontId="2" fillId="38" borderId="9" xfId="0" applyNumberFormat="1" applyFont="1" applyFill="1" applyBorder="1" applyAlignment="1">
      <x:alignment wrapText="1"/>
    </x:xf>
    <x:xf numFmtId="0" fontId="8" fillId="38" borderId="9" xfId="0" applyNumberFormat="1" applyFont="1" applyFill="1" applyBorder="1" applyAlignment="1">
      <x:alignment horizontal="center" vertical="center" wrapText="1"/>
    </x:xf>
    <x:xf numFmtId="176" fontId="6" fillId="38" borderId="9" xfId="0" applyNumberFormat="1" applyFont="1" applyFill="1" applyBorder="1" applyAlignment="1">
      <x:alignment horizontal="center" vertical="center" wrapText="1"/>
    </x:xf>
    <x:xf numFmtId="177" fontId="6" fillId="38" borderId="9" xfId="0" applyNumberFormat="1" applyFont="1" applyFill="1" applyBorder="1" applyAlignment="1">
      <x:alignment horizontal="center" vertical="center" wrapText="1"/>
    </x:xf>
    <x:xf numFmtId="9" fontId="6" fillId="38" borderId="9" xfId="0" applyNumberFormat="1" applyFont="1" applyFill="1" applyBorder="1" applyAlignment="1">
      <x:alignment horizontal="center" vertical="center" wrapText="1"/>
    </x:xf>
    <x:xf numFmtId="0" fontId="2" fillId="38" borderId="9" xfId="0" applyNumberFormat="1" applyFont="1" applyFill="1" applyBorder="1" applyAlignment="1">
      <x:alignment vertical="center" wrapText="1"/>
    </x:xf>
    <x:xf numFmtId="0" fontId="18" fillId="38" borderId="8" xfId="0" applyNumberFormat="1" applyFont="1" applyFill="1" applyBorder="1" applyAlignment="1">
      <x:alignment vertical="center" wrapText="1"/>
    </x:xf>
    <x:xf numFmtId="0" fontId="16" fillId="38" borderId="8" xfId="0" applyNumberFormat="1" applyFont="1" applyFill="1" applyBorder="1" applyAlignment="1">
      <x:alignment vertical="center" wrapText="1"/>
    </x:xf>
    <x:xf numFmtId="0" fontId="18" fillId="38" borderId="9" xfId="0" applyNumberFormat="1" applyFont="1" applyFill="1" applyBorder="1" applyAlignment="1">
      <x:alignment vertical="center" wrapText="1"/>
    </x:xf>
    <x:xf numFmtId="0" fontId="16" fillId="38" borderId="9" xfId="0" applyNumberFormat="1" applyFont="1" applyFill="1" applyBorder="1" applyAlignment="1">
      <x:alignment vertical="center" wrapText="1"/>
    </x:xf>
    <x:xf numFmtId="0" fontId="17" fillId="38" borderId="9" xfId="0" applyNumberFormat="1" applyFont="1" applyFill="1" applyBorder="1" applyAlignment="1">
      <x:alignment vertical="center" wrapText="1"/>
    </x:xf>
    <x:xf numFmtId="0" fontId="18" fillId="31" borderId="8" xfId="0" applyNumberFormat="1" applyFont="1" applyFill="1" applyBorder="1" applyAlignment="1">
      <x:alignment vertical="center" wrapText="1"/>
    </x:xf>
    <x:xf numFmtId="0" fontId="16" fillId="31" borderId="8" xfId="0" applyNumberFormat="1" applyFont="1" applyFill="1" applyBorder="1" applyAlignment="1">
      <x:alignment vertical="center" wrapText="1"/>
    </x:xf>
    <x:xf numFmtId="0" fontId="18" fillId="31" borderId="9" xfId="0" applyNumberFormat="1" applyFont="1" applyFill="1" applyBorder="1" applyAlignment="1">
      <x:alignment vertical="center" wrapText="1"/>
    </x:xf>
    <x:xf numFmtId="0" fontId="16" fillId="31" borderId="9" xfId="0" applyNumberFormat="1" applyFont="1" applyFill="1" applyBorder="1" applyAlignment="1">
      <x:alignment vertical="center" wrapText="1"/>
    </x:xf>
    <x:xf numFmtId="0" fontId="18" fillId="35" borderId="9" xfId="0" applyNumberFormat="1" applyFont="1" applyFill="1" applyBorder="1" applyAlignment="1">
      <x:alignment vertical="center" wrapText="1"/>
    </x:xf>
    <x:xf numFmtId="0" fontId="17" fillId="31" borderId="9" xfId="0" applyNumberFormat="1" applyFont="1" applyFill="1" applyBorder="1" applyAlignment="1">
      <x:alignment vertical="center" wrapText="1"/>
    </x:xf>
    <x:xf numFmtId="0" fontId="18" fillId="39" borderId="8" xfId="0" applyNumberFormat="1" applyFont="1" applyFill="1" applyBorder="1" applyAlignment="1">
      <x:alignment vertical="center" wrapText="1"/>
    </x:xf>
    <x:xf numFmtId="0" fontId="16" fillId="39" borderId="8" xfId="0" applyNumberFormat="1" applyFont="1" applyFill="1" applyBorder="1" applyAlignment="1">
      <x:alignment vertical="center" wrapText="1"/>
    </x:xf>
    <x:xf numFmtId="0" fontId="18" fillId="39" borderId="9" xfId="0" applyNumberFormat="1" applyFont="1" applyFill="1" applyBorder="1" applyAlignment="1">
      <x:alignment vertical="center" wrapText="1"/>
    </x:xf>
    <x:xf numFmtId="0" fontId="16" fillId="39" borderId="9" xfId="0" applyNumberFormat="1" applyFont="1" applyFill="1" applyBorder="1" applyAlignment="1">
      <x:alignment vertical="center" wrapText="1"/>
    </x:xf>
    <x:xf numFmtId="0" fontId="17" fillId="39" borderId="9" xfId="0" applyNumberFormat="1" applyFont="1" applyFill="1" applyBorder="1" applyAlignment="1">
      <x:alignment vertical="center" wrapText="1"/>
    </x:xf>
    <x:xf numFmtId="0" fontId="8" fillId="28" borderId="5" xfId="0" applyNumberFormat="1" applyFont="1" applyFill="1" applyBorder="1" applyAlignment="1">
      <x:alignment horizontal="center" vertical="center" wrapText="1"/>
    </x:xf>
    <x:xf numFmtId="0" fontId="6" fillId="28" borderId="4" xfId="0" applyNumberFormat="1" applyFont="1" applyFill="1" applyBorder="1" applyAlignment="1">
      <x:alignment horizontal="center" vertical="center" wrapText="1"/>
    </x:xf>
    <x:xf numFmtId="0" fontId="8" fillId="28" borderId="4" xfId="0" applyNumberFormat="1" applyFont="1" applyFill="1" applyBorder="1" applyAlignment="1">
      <x:alignment horizontal="center" vertical="center"/>
    </x:xf>
    <x:xf numFmtId="0" fontId="6" fillId="28" borderId="4" xfId="0" applyNumberFormat="1" applyFont="1" applyFill="1" applyBorder="1" applyAlignment="1">
      <x:alignment vertical="center" wrapText="1"/>
    </x:xf>
    <x:xf numFmtId="176" fontId="6" fillId="28" borderId="4" xfId="0" applyNumberFormat="1" applyFont="1" applyFill="1" applyBorder="1" applyAlignment="1">
      <x:alignment horizontal="center" vertical="center"/>
    </x:xf>
    <x:xf numFmtId="177" fontId="6" fillId="28" borderId="4" xfId="0" applyNumberFormat="1" applyFont="1" applyFill="1" applyBorder="1" applyAlignment="1">
      <x:alignment horizontal="center" vertical="center"/>
    </x:xf>
    <x:xf numFmtId="9" fontId="6" fillId="28" borderId="4" xfId="0" applyNumberFormat="1" applyFont="1" applyFill="1" applyBorder="1" applyAlignment="1">
      <x:alignment horizontal="center" vertical="center"/>
    </x:xf>
    <x:xf numFmtId="0" fontId="6" fillId="28" borderId="4" xfId="0" applyNumberFormat="1" applyFont="1" applyFill="1" applyBorder="1" applyAlignment="1">
      <x:alignment horizontal="center" vertical="center"/>
    </x:xf>
    <x:xf numFmtId="0" fontId="8" fillId="28" borderId="9" xfId="0" applyNumberFormat="1" applyFont="1" applyFill="1" applyBorder="1" applyAlignment="1">
      <x:alignment horizontal="center" vertical="center" wrapText="1"/>
    </x:xf>
    <x:xf numFmtId="0" fontId="6" fillId="28" borderId="9" xfId="0" applyNumberFormat="1" applyFont="1" applyFill="1" applyBorder="1" applyAlignment="1">
      <x:alignment horizontal="center" vertical="center" wrapText="1"/>
    </x:xf>
    <x:xf numFmtId="0" fontId="8" fillId="28" borderId="9" xfId="0" applyNumberFormat="1" applyFont="1" applyFill="1" applyBorder="1" applyAlignment="1">
      <x:alignment horizontal="center" vertical="center"/>
    </x:xf>
    <x:xf numFmtId="0" fontId="6" fillId="28" borderId="9" xfId="0" applyNumberFormat="1" applyFont="1" applyFill="1" applyBorder="1" applyAlignment="1">
      <x:alignment vertical="center" wrapText="1"/>
    </x:xf>
    <x:xf numFmtId="176" fontId="6" fillId="28" borderId="9" xfId="0" applyNumberFormat="1" applyFont="1" applyFill="1" applyBorder="1" applyAlignment="1">
      <x:alignment horizontal="center" vertical="center"/>
    </x:xf>
    <x:xf numFmtId="177" fontId="6" fillId="28" borderId="9" xfId="0" applyNumberFormat="1" applyFont="1" applyFill="1" applyBorder="1" applyAlignment="1">
      <x:alignment horizontal="center" vertical="center"/>
    </x:xf>
    <x:xf numFmtId="9" fontId="6" fillId="28" borderId="9" xfId="0" applyNumberFormat="1" applyFont="1" applyFill="1" applyBorder="1" applyAlignment="1">
      <x:alignment horizontal="center" vertical="center"/>
    </x:xf>
    <x:xf numFmtId="0" fontId="6" fillId="28" borderId="9" xfId="0" applyNumberFormat="1" applyFont="1" applyFill="1" applyBorder="1" applyAlignment="1">
      <x:alignment horizontal="center" vertical="center"/>
    </x:xf>
    <x:xf numFmtId="176" fontId="6" fillId="28" borderId="9" xfId="0" applyNumberFormat="1" applyFont="1" applyFill="1" applyBorder="1" applyAlignment="1">
      <x:alignment horizontal="center" vertical="center" wrapText="1"/>
    </x:xf>
    <x:xf numFmtId="177" fontId="6" fillId="28" borderId="9" xfId="0" applyNumberFormat="1" applyFont="1" applyFill="1" applyBorder="1" applyAlignment="1">
      <x:alignment horizontal="center" vertical="center" wrapText="1"/>
    </x:xf>
    <x:xf numFmtId="9" fontId="6" fillId="28" borderId="9" xfId="0" applyNumberFormat="1" applyFont="1" applyFill="1" applyBorder="1" applyAlignment="1">
      <x:alignment horizontal="center" vertical="center" wrapText="1"/>
    </x:xf>
    <x:xf numFmtId="0" fontId="2" fillId="28" borderId="7" xfId="0" applyNumberFormat="1" applyFont="1" applyFill="1" applyBorder="1"/>
    <x:xf numFmtId="0" fontId="2" fillId="28" borderId="9" xfId="0" applyNumberFormat="1" applyFont="1" applyFill="1" applyBorder="1"/>
    <x:xf numFmtId="0" fontId="2" fillId="28" borderId="9" xfId="0" applyNumberFormat="1" applyFont="1" applyFill="1" applyBorder="1" applyAlignment="1">
      <x:alignment wrapText="1"/>
    </x:xf>
    <x:xf numFmtId="0" fontId="2" fillId="28" borderId="9" xfId="0" applyNumberFormat="1" applyFont="1" applyFill="1" applyBorder="1" applyAlignment="1">
      <x:alignment vertical="center" wrapText="1"/>
    </x:xf>
    <x:xf numFmtId="0" fontId="2" fillId="28" borderId="6" xfId="0" applyNumberFormat="1" applyFont="1" applyFill="1" applyBorder="1"/>
    <x:xf numFmtId="0" fontId="18" fillId="28" borderId="8" xfId="0" applyNumberFormat="1" applyFont="1" applyFill="1" applyBorder="1" applyAlignment="1">
      <x:alignment vertical="center" wrapText="1"/>
    </x:xf>
    <x:xf numFmtId="0" fontId="18" fillId="28" borderId="9" xfId="0" applyNumberFormat="1" applyFont="1" applyFill="1" applyBorder="1" applyAlignment="1">
      <x:alignment vertical="center" wrapText="1"/>
    </x:xf>
    <x:xf numFmtId="0" fontId="16" fillId="28" borderId="9" xfId="0" applyNumberFormat="1" applyFont="1" applyFill="1" applyBorder="1" applyAlignment="1">
      <x:alignment vertical="center" wrapText="1"/>
    </x:xf>
    <x:xf numFmtId="0" fontId="17" fillId="28" borderId="9" xfId="0" applyNumberFormat="1" applyFont="1" applyFill="1" applyBorder="1" applyAlignment="1">
      <x:alignment vertical="center" wrapText="1"/>
    </x:xf>
    <x:xf numFmtId="0" fontId="8" fillId="40" borderId="9" xfId="0" applyNumberFormat="1" applyFont="1" applyFill="1" applyBorder="1" applyAlignment="1">
      <x:alignment horizontal="center" vertical="center" wrapText="1"/>
    </x:xf>
    <x:xf numFmtId="0" fontId="6" fillId="40" borderId="9" xfId="0" applyNumberFormat="1" applyFont="1" applyFill="1" applyBorder="1" applyAlignment="1">
      <x:alignment vertical="center" wrapText="1"/>
    </x:xf>
    <x:xf numFmtId="176" fontId="6" fillId="40" borderId="9" xfId="0" applyNumberFormat="1" applyFont="1" applyFill="1" applyBorder="1" applyAlignment="1">
      <x:alignment horizontal="center" vertical="center" wrapText="1"/>
    </x:xf>
    <x:xf numFmtId="177" fontId="6" fillId="40" borderId="9" xfId="0" applyNumberFormat="1" applyFont="1" applyFill="1" applyBorder="1" applyAlignment="1">
      <x:alignment horizontal="center" vertical="center" wrapText="1"/>
    </x:xf>
    <x:xf numFmtId="9" fontId="6" fillId="40" borderId="9" xfId="0" applyNumberFormat="1" applyFont="1" applyFill="1" applyBorder="1" applyAlignment="1">
      <x:alignment horizontal="center" vertical="center" wrapText="1"/>
    </x:xf>
    <x:xf numFmtId="0" fontId="6" fillId="40" borderId="9" xfId="0" applyNumberFormat="1" applyFont="1" applyFill="1" applyBorder="1" applyAlignment="1">
      <x:alignment horizontal="center" vertical="center" wrapText="1"/>
    </x:xf>
    <x:xf numFmtId="0" fontId="2" fillId="40" borderId="9" xfId="0" applyNumberFormat="1" applyFont="1" applyFill="1" applyBorder="1" applyAlignment="1">
      <x:alignment vertical="center" wrapText="1"/>
    </x:xf>
    <x:xf numFmtId="0" fontId="19" fillId="40" borderId="9" xfId="0" applyNumberFormat="1" applyFont="1" applyFill="1" applyBorder="1" applyAlignment="1">
      <x:alignment vertical="center" wrapText="1"/>
    </x:xf>
    <x:xf numFmtId="0" fontId="18" fillId="40" borderId="9" xfId="0" applyNumberFormat="1" applyFont="1" applyFill="1" applyBorder="1" applyAlignment="1">
      <x:alignment vertical="center" wrapText="1"/>
    </x:xf>
    <x:xf numFmtId="0" fontId="17" fillId="40" borderId="9" xfId="0" applyNumberFormat="1" applyFont="1" applyFill="1" applyBorder="1" applyAlignment="1">
      <x:alignment vertical="center" wrapText="1"/>
    </x:xf>
    <x:xf numFmtId="0" fontId="16" fillId="40" borderId="9" xfId="0" applyNumberFormat="1" applyFont="1" applyFill="1" applyBorder="1" applyAlignment="1">
      <x:alignment vertical="center" wrapText="1"/>
    </x:xf>
    <x:xf numFmtId="0" fontId="8" fillId="40" borderId="10" xfId="0" applyNumberFormat="1" applyFont="1" applyFill="1" applyBorder="1" applyAlignment="1">
      <x:alignment horizontal="center" vertical="center" wrapText="1"/>
    </x:xf>
    <x:xf numFmtId="0" fontId="6" fillId="40" borderId="10" xfId="0" applyNumberFormat="1" applyFont="1" applyFill="1" applyBorder="1" applyAlignment="1">
      <x:alignment vertical="center" wrapText="1"/>
    </x:xf>
    <x:xf numFmtId="176" fontId="6" fillId="40" borderId="10" xfId="0" applyNumberFormat="1" applyFont="1" applyFill="1" applyBorder="1" applyAlignment="1">
      <x:alignment horizontal="center" vertical="center" wrapText="1"/>
    </x:xf>
    <x:xf numFmtId="177" fontId="6" fillId="40" borderId="10" xfId="0" applyNumberFormat="1" applyFont="1" applyFill="1" applyBorder="1" applyAlignment="1">
      <x:alignment horizontal="center" vertical="center" wrapText="1"/>
    </x:xf>
    <x:xf numFmtId="9" fontId="6" fillId="40" borderId="10" xfId="0" applyNumberFormat="1" applyFont="1" applyFill="1" applyBorder="1" applyAlignment="1">
      <x:alignment horizontal="center" vertical="center" wrapText="1"/>
    </x:xf>
    <x:xf numFmtId="0" fontId="6" fillId="40" borderId="10" xfId="0" applyNumberFormat="1" applyFont="1" applyFill="1" applyBorder="1" applyAlignment="1">
      <x:alignment horizontal="center" vertical="center" wrapText="1"/>
    </x:xf>
    <x:xf numFmtId="0" fontId="2" fillId="40" borderId="10" xfId="0" applyNumberFormat="1" applyFont="1" applyFill="1" applyBorder="1" applyAlignment="1">
      <x:alignment vertical="center" wrapText="1"/>
    </x:xf>
    <x:xf numFmtId="0" fontId="19" fillId="40" borderId="10" xfId="0" applyNumberFormat="1" applyFont="1" applyFill="1" applyBorder="1" applyAlignment="1">
      <x:alignment vertical="center" wrapText="1"/>
    </x:xf>
    <x:xf numFmtId="0" fontId="18" fillId="40" borderId="10" xfId="0" applyNumberFormat="1" applyFont="1" applyFill="1" applyBorder="1" applyAlignment="1">
      <x:alignment vertical="center" wrapText="1"/>
    </x:xf>
    <x:xf numFmtId="0" fontId="17" fillId="40" borderId="10" xfId="0" applyNumberFormat="1" applyFont="1" applyFill="1" applyBorder="1" applyAlignment="1">
      <x:alignment vertical="center" wrapText="1"/>
    </x:xf>
    <x:xf numFmtId="0" fontId="16" fillId="40" borderId="10" xfId="0" applyNumberFormat="1" applyFont="1" applyFill="1" applyBorder="1" applyAlignment="1">
      <x:alignment vertical="center" wrapText="1"/>
    </x:xf>
    <x:xf numFmtId="0" fontId="20" fillId="40" borderId="10" xfId="0" applyNumberFormat="1" applyFont="1" applyFill="1" applyBorder="1" applyAlignment="1">
      <x:alignment horizontal="center" vertical="center" wrapText="1"/>
    </x:xf>
    <x:xf numFmtId="0" fontId="21" fillId="40" borderId="10" xfId="0" applyNumberFormat="1" applyFont="1" applyFill="1" applyBorder="1" applyAlignment="1">
      <x:alignment vertical="center" wrapText="1"/>
    </x:xf>
    <x:xf numFmtId="176" fontId="21" fillId="40" borderId="10" xfId="0" applyNumberFormat="1" applyFont="1" applyFill="1" applyBorder="1" applyAlignment="1">
      <x:alignment horizontal="center" vertical="center" wrapText="1"/>
    </x:xf>
    <x:xf numFmtId="177" fontId="21" fillId="40" borderId="10" xfId="0" applyNumberFormat="1" applyFont="1" applyFill="1" applyBorder="1" applyAlignment="1">
      <x:alignment horizontal="center" vertical="center" wrapText="1"/>
    </x:xf>
    <x:xf numFmtId="9" fontId="21" fillId="40" borderId="10" xfId="0" applyNumberFormat="1" applyFont="1" applyFill="1" applyBorder="1" applyAlignment="1">
      <x:alignment horizontal="center" vertical="center" wrapText="1"/>
    </x:xf>
    <x:xf numFmtId="0" fontId="21" fillId="40" borderId="10" xfId="0" applyNumberFormat="1" applyFont="1" applyFill="1" applyBorder="1" applyAlignment="1">
      <x:alignment horizontal="center" vertical="center" wrapText="1"/>
    </x:xf>
    <x:xf numFmtId="0" fontId="20" fillId="40" borderId="10" xfId="0" applyNumberFormat="1" applyFont="1" applyFill="1" applyBorder="1" applyAlignment="1">
      <x:alignment vertical="center" wrapText="1"/>
    </x:xf>
    <x:xf numFmtId="0" fontId="22" fillId="40" borderId="10" xfId="0" applyNumberFormat="1" applyFont="1" applyFill="1" applyBorder="1" applyAlignment="1">
      <x:alignment vertical="center" wrapText="1"/>
    </x:xf>
    <x:xf numFmtId="0" fontId="23" fillId="40" borderId="10" xfId="0" applyNumberFormat="1" applyFont="1" applyFill="1" applyBorder="1" applyAlignment="1">
      <x:alignment vertical="center" wrapText="1"/>
    </x:xf>
    <x:xf numFmtId="0" fontId="24" fillId="40" borderId="10" xfId="0" applyNumberFormat="1" applyFont="1" applyFill="1" applyBorder="1" applyAlignment="1">
      <x:alignment horizontal="center" vertical="center" wrapText="1"/>
    </x:xf>
    <x:xf numFmtId="0" fontId="25" fillId="40" borderId="10" xfId="0" applyNumberFormat="1" applyFont="1" applyFill="1" applyBorder="1" applyAlignment="1">
      <x:alignment vertical="center" wrapText="1"/>
    </x:xf>
    <x:xf numFmtId="176" fontId="25" fillId="40" borderId="10" xfId="0" applyNumberFormat="1" applyFont="1" applyFill="1" applyBorder="1" applyAlignment="1">
      <x:alignment horizontal="center" vertical="center" wrapText="1"/>
    </x:xf>
    <x:xf numFmtId="177" fontId="25" fillId="40" borderId="10" xfId="0" applyNumberFormat="1" applyFont="1" applyFill="1" applyBorder="1" applyAlignment="1">
      <x:alignment horizontal="center" vertical="center" wrapText="1"/>
    </x:xf>
    <x:xf numFmtId="9" fontId="25" fillId="40" borderId="10" xfId="0" applyNumberFormat="1" applyFont="1" applyFill="1" applyBorder="1" applyAlignment="1">
      <x:alignment horizontal="center" vertical="center" wrapText="1"/>
    </x:xf>
    <x:xf numFmtId="0" fontId="25" fillId="40" borderId="10" xfId="0" applyNumberFormat="1" applyFont="1" applyFill="1" applyBorder="1" applyAlignment="1">
      <x:alignment horizontal="center" vertical="center" wrapText="1"/>
    </x:xf>
    <x:xf numFmtId="0" fontId="24" fillId="40" borderId="10" xfId="0" applyNumberFormat="1" applyFont="1" applyFill="1" applyBorder="1" applyAlignment="1">
      <x:alignment vertical="center" wrapText="1"/>
    </x:xf>
    <x:xf numFmtId="0" fontId="24" fillId="41" borderId="10" xfId="0" applyNumberFormat="1" applyFont="1" applyFill="1" applyBorder="1" applyAlignment="1">
      <x:alignment horizontal="center" vertical="center" wrapText="1"/>
    </x:xf>
    <x:xf numFmtId="0" fontId="25" fillId="41" borderId="10" xfId="0" applyNumberFormat="1" applyFont="1" applyFill="1" applyBorder="1" applyAlignment="1">
      <x:alignment vertical="center" wrapText="1"/>
    </x:xf>
    <x:xf numFmtId="0" fontId="24" fillId="41" borderId="10" xfId="0" applyNumberFormat="1" applyFont="1" applyFill="1" applyBorder="1" applyAlignment="1">
      <x:alignment vertical="center" wrapText="1"/>
    </x:xf>
    <x:xf numFmtId="0" fontId="22" fillId="41" borderId="10" xfId="0" applyNumberFormat="1" applyFont="1" applyFill="1" applyBorder="1" applyAlignment="1">
      <x:alignment vertical="center" wrapText="1"/>
    </x:xf>
    <x:xf numFmtId="0" fontId="24" fillId="42" borderId="10" xfId="0" applyNumberFormat="1" applyFont="1" applyFill="1" applyBorder="1" applyAlignment="1">
      <x:alignment horizontal="center" vertical="center" wrapText="1"/>
    </x:xf>
    <x:xf numFmtId="0" fontId="22" fillId="42" borderId="10" xfId="0" applyNumberFormat="1" applyFont="1" applyFill="1" applyBorder="1" applyAlignment="1">
      <x:alignment vertical="center" wrapText="1"/>
    </x:xf>
    <x:xf numFmtId="177" fontId="25" fillId="43" borderId="10" xfId="0" applyNumberFormat="1" applyFont="1" applyFill="1" applyBorder="1" applyAlignment="1">
      <x:alignment horizontal="center" vertical="center" wrapText="1"/>
    </x:xf>
    <x:xf numFmtId="0" fontId="23" fillId="43" borderId="10" xfId="0" applyNumberFormat="1" applyFont="1" applyFill="1" applyBorder="1" applyAlignment="1">
      <x:alignment vertical="center" wrapText="1"/>
    </x:xf>
    <x:xf numFmtId="0" fontId="24" fillId="44" borderId="10" xfId="0" applyNumberFormat="1" applyFont="1" applyFill="1" applyBorder="1" applyAlignment="1">
      <x:alignment horizontal="center" vertical="center" wrapText="1"/>
    </x:xf>
    <x:xf numFmtId="0" fontId="24" fillId="45" borderId="10" xfId="0" applyNumberFormat="1" applyFont="1" applyFill="1" applyBorder="1" applyAlignment="1">
      <x:alignment horizontal="center" vertical="center" wrapText="1"/>
    </x:xf>
    <x:xf numFmtId="9" fontId="25" fillId="46" borderId="10" xfId="0" applyNumberFormat="1" applyFont="1" applyFill="1" applyBorder="1" applyAlignment="1">
      <x:alignment horizontal="center" vertical="center" wrapText="1"/>
    </x:xf>
    <x:xf numFmtId="9" fontId="26" fillId="46" borderId="10" xfId="0" applyNumberFormat="1" applyFont="1" applyFill="1" applyBorder="1" applyAlignment="1">
      <x:alignment horizontal="center" vertical="center" wrapText="1"/>
    </x:xf>
    <x:xf numFmtId="0" fontId="24" fillId="47" borderId="10" xfId="0" applyNumberFormat="1" applyFont="1" applyFill="1" applyBorder="1" applyAlignment="1">
      <x:alignment horizontal="center" vertical="center" wrapText="1"/>
    </x:xf>
    <x:xf numFmtId="0" fontId="25" fillId="44" borderId="10" xfId="0" applyNumberFormat="1" applyFont="1" applyFill="1" applyBorder="1" applyAlignment="1">
      <x:alignment vertical="center" wrapText="1"/>
    </x:xf>
    <x:xf numFmtId="9" fontId="25" fillId="43" borderId="10" xfId="0" applyNumberFormat="1" applyFont="1" applyFill="1" applyBorder="1" applyAlignment="1">
      <x:alignment horizontal="center" vertical="center" wrapText="1"/>
    </x:xf>
    <x:xf numFmtId="0" fontId="24" fillId="48" borderId="10" xfId="0" applyNumberFormat="1" applyFont="1" applyFill="1" applyBorder="1" applyAlignment="1">
      <x:alignment horizontal="center" vertical="center" wrapText="1"/>
    </x:xf>
    <x:xf numFmtId="0" fontId="25" fillId="49" borderId="10" xfId="0" applyNumberFormat="1" applyFont="1" applyFill="1" applyBorder="1" applyAlignment="1">
      <x:alignment vertical="center" wrapText="1"/>
    </x:xf>
    <x:xf numFmtId="0" fontId="24" fillId="46" borderId="10" xfId="0" applyNumberFormat="1" applyFont="1" applyFill="1" applyBorder="1" applyAlignment="1">
      <x:alignment horizontal="center" vertical="center" wrapText="1"/>
    </x:xf>
    <x:xf numFmtId="0" fontId="25" fillId="48" borderId="10" xfId="0" applyNumberFormat="1" applyFont="1" applyFill="1" applyBorder="1" applyAlignment="1">
      <x:alignment vertical="center" wrapText="1"/>
    </x:xf>
    <x:xf numFmtId="0" fontId="24" fillId="50" borderId="10" xfId="0" applyNumberFormat="1" applyFont="1" applyFill="1" applyBorder="1" applyAlignment="1">
      <x:alignment horizontal="center" vertical="center" wrapText="1"/>
    </x:xf>
    <x:xf numFmtId="0" fontId="24" fillId="51" borderId="10" xfId="0" applyNumberFormat="1" applyFont="1" applyFill="1" applyBorder="1" applyAlignment="1">
      <x:alignment horizontal="center" vertical="center" wrapText="1"/>
    </x:xf>
    <x:xf numFmtId="0" fontId="23" fillId="51" borderId="10" xfId="0" applyNumberFormat="1" applyFont="1" applyFill="1" applyBorder="1" applyAlignment="1">
      <x:alignment vertical="center" wrapText="1"/>
    </x:xf>
    <x:xf numFmtId="0" fontId="22" fillId="51" borderId="10" xfId="0" applyNumberFormat="1" applyFont="1" applyFill="1" applyBorder="1" applyAlignment="1">
      <x:alignment vertical="center" wrapText="1"/>
    </x:xf>
    <x:xf numFmtId="0" fontId="22" fillId="50" borderId="10" xfId="0" applyNumberFormat="1" applyFont="1" applyFill="1" applyBorder="1" applyAlignment="1">
      <x:alignment vertical="center" wrapText="1"/>
    </x:xf>
    <x:xf numFmtId="0" fontId="22" fillId="52" borderId="10" xfId="0" applyNumberFormat="1" applyFont="1" applyFill="1" applyBorder="1" applyAlignment="1">
      <x:alignment vertical="center" wrapText="1"/>
    </x:xf>
    <x:xf numFmtId="0" fontId="23" fillId="45" borderId="10" xfId="0" applyNumberFormat="1" applyFont="1" applyFill="1" applyBorder="1" applyAlignment="1">
      <x:alignment vertical="center" wrapText="1"/>
    </x:xf>
    <x:xf numFmtId="0" fontId="22" fillId="45" borderId="10" xfId="0" applyNumberFormat="1" applyFont="1" applyFill="1" applyBorder="1" applyAlignment="1">
      <x:alignment vertical="center" wrapText="1"/>
    </x:xf>
    <x:xf numFmtId="0" fontId="23" fillId="41" borderId="10" xfId="0" applyNumberFormat="1" applyFont="1" applyFill="1" applyBorder="1" applyAlignment="1">
      <x:alignment vertical="center" wrapText="1"/>
    </x:xf>
    <x:xf numFmtId="0" fontId="23" fillId="53" borderId="10" xfId="0" applyNumberFormat="1" applyFont="1" applyFill="1" applyBorder="1" applyAlignment="1">
      <x:alignment vertical="center" wrapText="1"/>
    </x:xf>
    <x:xf numFmtId="0" fontId="22" fillId="53" borderId="10" xfId="0" applyNumberFormat="1" applyFont="1" applyFill="1" applyBorder="1" applyAlignment="1">
      <x:alignment vertical="center" wrapText="1"/>
    </x:xf>
    <x:xf numFmtId="0" fontId="27" fillId="42" borderId="10" xfId="0" applyNumberFormat="1" applyFont="1" applyFill="1" applyBorder="1" applyAlignment="1">
      <x:alignment horizontal="center" vertical="center" wrapText="1"/>
    </x:xf>
    <x:xf numFmtId="0" fontId="28" fillId="42" borderId="10" xfId="0" applyNumberFormat="1" applyFont="1" applyFill="1" applyBorder="1" applyAlignment="1">
      <x:alignment vertical="center" wrapText="1"/>
    </x:xf>
    <x:xf numFmtId="0" fontId="22" fillId="51" borderId="10" xfId="0" applyNumberFormat="1" applyFont="1" applyFill="1" applyBorder="1" applyAlignment="1">
      <x:alignment horizontal="center" vertical="center" wrapText="1"/>
    </x:xf>
    <x:xf numFmtId="0" fontId="22" fillId="45" borderId="10" xfId="0" applyNumberFormat="1" applyFont="1" applyFill="1" applyBorder="1" applyAlignment="1">
      <x:alignment horizontal="center" vertical="center" wrapText="1"/>
    </x:xf>
    <x:xf numFmtId="0" fontId="22" fillId="41" borderId="10" xfId="0" applyNumberFormat="1" applyFont="1" applyFill="1" applyBorder="1" applyAlignment="1">
      <x:alignment horizontal="center" vertical="center" wrapText="1"/>
    </x:xf>
    <x:xf numFmtId="0" fontId="22" fillId="53" borderId="10" xfId="0" applyNumberFormat="1" applyFont="1" applyFill="1" applyBorder="1" applyAlignment="1">
      <x:alignment horizontal="center" vertical="center" wrapText="1"/>
    </x:xf>
    <x:xf numFmtId="200" fontId="25" fillId="40" borderId="10" xfId="0" applyNumberFormat="1" applyFont="1" applyFill="1" applyBorder="1" applyAlignment="1">
      <x:alignment horizontal="center" vertical="center" wrapText="1"/>
    </x:xf>
    <x:xf numFmtId="200" fontId="23" fillId="40" borderId="10" xfId="0" applyNumberFormat="1" applyFont="1" applyFill="1" applyBorder="1" applyAlignment="1">
      <x:alignment vertical="center" wrapText="1"/>
    </x:xf>
    <x:xf numFmtId="0" fontId="24" fillId="49" borderId="10" xfId="0" applyNumberFormat="1" applyFont="1" applyFill="1" applyBorder="1" applyAlignment="1">
      <x:alignment horizontal="center" vertical="center" wrapText="1"/>
    </x:xf>
    <x:xf numFmtId="0" fontId="25" fillId="50" borderId="10" xfId="0" applyNumberFormat="1" applyFont="1" applyFill="1" applyBorder="1" applyAlignment="1">
      <x:alignment vertical="center" wrapText="1"/>
    </x:xf>
    <x:xf numFmtId="0" fontId="19" fillId="28" borderId="9" xfId="0" applyNumberFormat="1" applyFont="1" applyFill="1" applyBorder="1" applyAlignment="1">
      <x:alignment vertical="center" wrapText="1"/>
    </x:xf>
    <x:xf numFmtId="0" fontId="8" fillId="28" borderId="10" xfId="0" applyNumberFormat="1" applyFont="1" applyFill="1" applyBorder="1" applyAlignment="1">
      <x:alignment horizontal="center" vertical="center" wrapText="1"/>
    </x:xf>
    <x:xf numFmtId="0" fontId="6" fillId="28" borderId="10" xfId="0" applyNumberFormat="1" applyFont="1" applyFill="1" applyBorder="1" applyAlignment="1">
      <x:alignment vertical="center" wrapText="1"/>
    </x:xf>
    <x:xf numFmtId="176" fontId="6" fillId="28" borderId="10" xfId="0" applyNumberFormat="1" applyFont="1" applyFill="1" applyBorder="1" applyAlignment="1">
      <x:alignment horizontal="center" vertical="center" wrapText="1"/>
    </x:xf>
    <x:xf numFmtId="177" fontId="6" fillId="28" borderId="10" xfId="0" applyNumberFormat="1" applyFont="1" applyFill="1" applyBorder="1" applyAlignment="1">
      <x:alignment horizontal="center" vertical="center" wrapText="1"/>
    </x:xf>
    <x:xf numFmtId="9" fontId="6" fillId="28" borderId="10" xfId="0" applyNumberFormat="1" applyFont="1" applyFill="1" applyBorder="1" applyAlignment="1">
      <x:alignment horizontal="center" vertical="center" wrapText="1"/>
    </x:xf>
    <x:xf numFmtId="0" fontId="6" fillId="28" borderId="10" xfId="0" applyNumberFormat="1" applyFont="1" applyFill="1" applyBorder="1" applyAlignment="1">
      <x:alignment horizontal="center" vertical="center" wrapText="1"/>
    </x:xf>
    <x:xf numFmtId="0" fontId="2" fillId="28" borderId="10" xfId="0" applyNumberFormat="1" applyFont="1" applyFill="1" applyBorder="1" applyAlignment="1">
      <x:alignment vertical="center" wrapText="1"/>
    </x:xf>
    <x:xf numFmtId="0" fontId="19" fillId="28" borderId="10" xfId="0" applyNumberFormat="1" applyFont="1" applyFill="1" applyBorder="1" applyAlignment="1">
      <x:alignment vertical="center" wrapText="1"/>
    </x:xf>
    <x:xf numFmtId="0" fontId="18" fillId="28" borderId="10" xfId="0" applyNumberFormat="1" applyFont="1" applyFill="1" applyBorder="1" applyAlignment="1">
      <x:alignment vertical="center" wrapText="1"/>
    </x:xf>
    <x:xf numFmtId="0" fontId="17" fillId="28" borderId="10" xfId="0" applyNumberFormat="1" applyFont="1" applyFill="1" applyBorder="1" applyAlignment="1">
      <x:alignment vertical="center" wrapText="1"/>
    </x:xf>
    <x:xf numFmtId="0" fontId="16" fillId="28" borderId="10" xfId="0" applyNumberFormat="1" applyFont="1" applyFill="1" applyBorder="1" applyAlignment="1">
      <x:alignment vertical="center" wrapText="1"/>
    </x:xf>
    <x:xf numFmtId="0" fontId="20" fillId="28" borderId="10" xfId="0" applyNumberFormat="1" applyFont="1" applyFill="1" applyBorder="1" applyAlignment="1">
      <x:alignment horizontal="center" vertical="center" wrapText="1"/>
    </x:xf>
    <x:xf numFmtId="0" fontId="21" fillId="28" borderId="10" xfId="0" applyNumberFormat="1" applyFont="1" applyFill="1" applyBorder="1" applyAlignment="1">
      <x:alignment vertical="center" wrapText="1"/>
    </x:xf>
    <x:xf numFmtId="176" fontId="21" fillId="28" borderId="10" xfId="0" applyNumberFormat="1" applyFont="1" applyFill="1" applyBorder="1" applyAlignment="1">
      <x:alignment horizontal="center" vertical="center" wrapText="1"/>
    </x:xf>
    <x:xf numFmtId="177" fontId="21" fillId="28" borderId="10" xfId="0" applyNumberFormat="1" applyFont="1" applyFill="1" applyBorder="1" applyAlignment="1">
      <x:alignment horizontal="center" vertical="center" wrapText="1"/>
    </x:xf>
    <x:xf numFmtId="9" fontId="21" fillId="28" borderId="10" xfId="0" applyNumberFormat="1" applyFont="1" applyFill="1" applyBorder="1" applyAlignment="1">
      <x:alignment horizontal="center" vertical="center" wrapText="1"/>
    </x:xf>
    <x:xf numFmtId="0" fontId="21" fillId="28" borderId="10" xfId="0" applyNumberFormat="1" applyFont="1" applyFill="1" applyBorder="1" applyAlignment="1">
      <x:alignment horizontal="center" vertical="center" wrapText="1"/>
    </x:xf>
    <x:xf numFmtId="0" fontId="20" fillId="28" borderId="10" xfId="0" applyNumberFormat="1" applyFont="1" applyFill="1" applyBorder="1" applyAlignment="1">
      <x:alignment vertical="center" wrapText="1"/>
    </x:xf>
    <x:xf numFmtId="0" fontId="22" fillId="28" borderId="10" xfId="0" applyNumberFormat="1" applyFont="1" applyFill="1" applyBorder="1" applyAlignment="1">
      <x:alignment vertical="center" wrapText="1"/>
    </x:xf>
    <x:xf numFmtId="0" fontId="23" fillId="28" borderId="10" xfId="0" applyNumberFormat="1" applyFont="1" applyFill="1" applyBorder="1" applyAlignment="1">
      <x:alignment vertical="center" wrapText="1"/>
    </x:xf>
    <x:xf numFmtId="0" fontId="24" fillId="28" borderId="10" xfId="0" applyNumberFormat="1" applyFont="1" applyFill="1" applyBorder="1" applyAlignment="1">
      <x:alignment horizontal="center" vertical="center" wrapText="1"/>
    </x:xf>
    <x:xf numFmtId="0" fontId="25" fillId="28" borderId="10" xfId="0" applyNumberFormat="1" applyFont="1" applyFill="1" applyBorder="1" applyAlignment="1">
      <x:alignment vertical="center" wrapText="1"/>
    </x:xf>
    <x:xf numFmtId="176" fontId="25" fillId="28" borderId="10" xfId="0" applyNumberFormat="1" applyFont="1" applyFill="1" applyBorder="1" applyAlignment="1">
      <x:alignment horizontal="center" vertical="center" wrapText="1"/>
    </x:xf>
    <x:xf numFmtId="177" fontId="25" fillId="28" borderId="10" xfId="0" applyNumberFormat="1" applyFont="1" applyFill="1" applyBorder="1" applyAlignment="1">
      <x:alignment horizontal="center" vertical="center" wrapText="1"/>
    </x:xf>
    <x:xf numFmtId="9" fontId="25" fillId="28" borderId="10" xfId="0" applyNumberFormat="1" applyFont="1" applyFill="1" applyBorder="1" applyAlignment="1">
      <x:alignment horizontal="center" vertical="center" wrapText="1"/>
    </x:xf>
    <x:xf numFmtId="0" fontId="25" fillId="28" borderId="10" xfId="0" applyNumberFormat="1" applyFont="1" applyFill="1" applyBorder="1" applyAlignment="1">
      <x:alignment horizontal="center" vertical="center" wrapText="1"/>
    </x:xf>
    <x:xf numFmtId="0" fontId="24" fillId="28" borderId="10" xfId="0" applyNumberFormat="1" applyFont="1" applyFill="1" applyBorder="1" applyAlignment="1">
      <x:alignment vertical="center" wrapText="1"/>
    </x:xf>
    <x:xf numFmtId="0" fontId="24" fillId="11" borderId="10" xfId="0" applyNumberFormat="1" applyFont="1" applyFill="1" applyBorder="1" applyAlignment="1">
      <x:alignment horizontal="center" vertical="center" wrapText="1"/>
    </x:xf>
    <x:xf numFmtId="9" fontId="25" fillId="14" borderId="10" xfId="0" applyNumberFormat="1" applyFont="1" applyFill="1" applyBorder="1" applyAlignment="1">
      <x:alignment horizontal="center" vertical="center" wrapText="1"/>
    </x:xf>
    <x:xf numFmtId="9" fontId="26" fillId="14" borderId="10" xfId="0" applyNumberFormat="1" applyFont="1" applyFill="1" applyBorder="1" applyAlignment="1">
      <x:alignment horizontal="center" vertical="center" wrapText="1"/>
    </x:xf>
    <x:xf numFmtId="0" fontId="25" fillId="11" borderId="10" xfId="0" applyNumberFormat="1" applyFont="1" applyFill="1" applyBorder="1" applyAlignment="1">
      <x:alignment vertical="center" wrapText="1"/>
    </x:xf>
    <x:xf numFmtId="0" fontId="24" fillId="13" borderId="10" xfId="0" applyNumberFormat="1" applyFont="1" applyFill="1" applyBorder="1" applyAlignment="1">
      <x:alignment horizontal="center" vertical="center" wrapText="1"/>
    </x:xf>
    <x:xf numFmtId="0" fontId="24" fillId="14" borderId="10" xfId="0" applyNumberFormat="1" applyFont="1" applyFill="1" applyBorder="1" applyAlignment="1">
      <x:alignment horizontal="center" vertical="center" wrapText="1"/>
    </x:xf>
    <x:xf numFmtId="0" fontId="25" fillId="13" borderId="10" xfId="0" applyNumberFormat="1" applyFont="1" applyFill="1" applyBorder="1" applyAlignment="1">
      <x:alignment vertical="center" wrapText="1"/>
    </x:xf>
    <x:xf numFmtId="0" fontId="24" fillId="15" borderId="10" xfId="0" applyNumberFormat="1" applyFont="1" applyFill="1" applyBorder="1" applyAlignment="1">
      <x:alignment horizontal="center" vertical="center" wrapText="1"/>
    </x:xf>
    <x:xf numFmtId="0" fontId="23" fillId="15" borderId="10" xfId="0" applyNumberFormat="1" applyFont="1" applyFill="1" applyBorder="1" applyAlignment="1">
      <x:alignment vertical="center" wrapText="1"/>
    </x:xf>
    <x:xf numFmtId="0" fontId="22" fillId="15" borderId="10" xfId="0" applyNumberFormat="1" applyFont="1" applyFill="1" applyBorder="1" applyAlignment="1">
      <x:alignment vertical="center" wrapText="1"/>
    </x:xf>
    <x:xf numFmtId="0" fontId="25" fillId="42" borderId="10" xfId="0" applyNumberFormat="1" applyFont="1" applyFill="1" applyBorder="1" applyAlignment="1">
      <x:alignment horizontal="center" vertical="center" wrapText="1"/>
    </x:xf>
    <x:xf numFmtId="0" fontId="23" fillId="42" borderId="10" xfId="0" applyNumberFormat="1" applyFont="1" applyFill="1" applyBorder="1" applyAlignment="1">
      <x:alignment vertical="center" wrapText="1"/>
    </x:xf>
    <x:xf numFmtId="0" fontId="22" fillId="15" borderId="10" xfId="0" applyNumberFormat="1" applyFont="1" applyFill="1" applyBorder="1" applyAlignment="1">
      <x:alignment horizontal="center" vertical="center" wrapText="1"/>
    </x:xf>
    <x:xf numFmtId="200" fontId="25" fillId="28" borderId="10" xfId="0" applyNumberFormat="1" applyFont="1" applyFill="1" applyBorder="1" applyAlignment="1">
      <x:alignment horizontal="center" vertical="center" wrapText="1"/>
    </x:xf>
    <x:xf numFmtId="200" fontId="23" fillId="28" borderId="10" xfId="0" applyNumberFormat="1" applyFont="1" applyFill="1" applyBorder="1" applyAlignment="1">
      <x:alignment vertical="center" wrapText="1"/>
    </x:xf>
    <x:xf numFmtId="0" fontId="24" fillId="54" borderId="10" xfId="0" applyNumberFormat="1" applyFont="1" applyFill="1" applyBorder="1" applyAlignment="1">
      <x:alignment horizontal="center" vertical="center" wrapText="1"/>
    </x:xf>
    <x:xf numFmtId="0" fontId="24" fillId="11" borderId="10" xfId="0" applyNumberFormat="1" applyFont="1" applyFill="1" applyBorder="1" applyAlignment="1">
      <x:alignment vertical="center" wrapText="1"/>
    </x:xf>
    <x:xf numFmtId="0" fontId="24" fillId="54" borderId="10" xfId="0" applyNumberFormat="1" applyFont="1" applyFill="1" applyBorder="1" applyAlignment="1">
      <x:alignment vertical="center" wrapText="1"/>
    </x:xf>
    <x:xf numFmtId="0" fontId="24" fillId="49" borderId="10" xfId="0" applyNumberFormat="1" applyFont="1" applyFill="1" applyBorder="1" applyAlignment="1">
      <x:alignment vertical="center" wrapText="1"/>
    </x:xf>
    <x:xf numFmtId="0" fontId="24" fillId="13" borderId="10" xfId="0" applyNumberFormat="1" applyFont="1" applyFill="1" applyBorder="1" applyAlignment="1">
      <x:alignment vertical="center" wrapText="1"/>
    </x:xf>
    <x:xf numFmtId="0" fontId="22" fillId="54" borderId="10" xfId="0" applyNumberFormat="1" applyFont="1" applyFill="1" applyBorder="1" applyAlignment="1">
      <x:alignment vertical="center" wrapText="1"/>
    </x:xf>
    <x:xf numFmtId="0" fontId="24" fillId="55" borderId="10" xfId="0" applyNumberFormat="1" applyFont="1" applyFill="1" applyBorder="1" applyAlignment="1">
      <x:alignment horizontal="center" vertical="center" wrapText="1"/>
    </x:xf>
    <x:xf numFmtId="0" fontId="24" fillId="55" borderId="10" xfId="0" applyNumberFormat="1" applyFont="1" applyFill="1" applyBorder="1" applyAlignment="1">
      <x:alignment vertical="center" wrapText="1"/>
    </x:xf>
    <x:xf numFmtId="0" fontId="22" fillId="55" borderId="10" xfId="0" applyNumberFormat="1" applyFont="1" applyFill="1" applyBorder="1" applyAlignment="1">
      <x:alignment vertical="center" wrapText="1"/>
    </x:xf>
    <x:xf numFmtId="0" fontId="25" fillId="41" borderId="10" xfId="0" applyNumberFormat="1" applyFont="1" applyFill="1" applyBorder="1" applyAlignment="1">
      <x:alignment horizontal="center" vertical="center" wrapText="1"/>
    </x:xf>
    <x:xf numFmtId="0" fontId="24" fillId="55" borderId="11" xfId="0" applyNumberFormat="1" applyFont="1" applyFill="1" applyBorder="1" applyAlignment="1">
      <x:alignment horizontal="center" vertical="center" wrapText="1"/>
    </x:xf>
    <x:xf numFmtId="0" fontId="24" fillId="41" borderId="11" xfId="0" applyNumberFormat="1" applyFont="1" applyFill="1" applyBorder="1" applyAlignment="1">
      <x:alignment horizontal="center" vertical="center" wrapText="1"/>
    </x:xf>
    <x:xf numFmtId="0" fontId="22" fillId="41" borderId="11" xfId="0" applyNumberFormat="1" applyFont="1" applyFill="1" applyBorder="1" applyAlignment="1">
      <x:alignment horizontal="center" vertical="center" wrapText="1"/>
    </x:xf>
    <x:xf numFmtId="0" fontId="22" fillId="55" borderId="10" xfId="0" applyNumberFormat="1" applyFont="1" applyFill="1" applyBorder="1" applyAlignment="1">
      <x:alignment horizontal="center" vertical="center" wrapText="1"/>
    </x:xf>
    <x:xf numFmtId="0" fontId="22" fillId="55" borderId="11" xfId="0" applyNumberFormat="1" applyFont="1" applyFill="1" applyBorder="1" applyAlignment="1">
      <x:alignment horizontal="center" vertical="center" wrapText="1"/>
    </x:xf>
    <x:xf numFmtId="0" fontId="25" fillId="11" borderId="10" xfId="0" applyNumberFormat="1" applyFont="1" applyFill="1" applyBorder="1" applyAlignment="1">
      <x:alignment horizontal="center" vertical="center" wrapText="1"/>
    </x:xf>
    <x:xf numFmtId="0" fontId="24" fillId="54" borderId="11" xfId="0" applyNumberFormat="1" applyFont="1" applyFill="1" applyBorder="1" applyAlignment="1">
      <x:alignment horizontal="center" vertical="center" wrapText="1"/>
    </x:xf>
    <x:xf numFmtId="0" fontId="24" fillId="11" borderId="11" xfId="0" applyNumberFormat="1" applyFont="1" applyFill="1" applyBorder="1" applyAlignment="1">
      <x:alignment horizontal="center" vertical="center" wrapText="1"/>
    </x:xf>
    <x:xf numFmtId="0" fontId="25" fillId="49" borderId="10" xfId="0" applyNumberFormat="1" applyFont="1" applyFill="1" applyBorder="1" applyAlignment="1">
      <x:alignment horizontal="center" vertical="center" wrapText="1"/>
    </x:xf>
    <x:xf numFmtId="0" fontId="24" fillId="49" borderId="11" xfId="0" applyNumberFormat="1" applyFont="1" applyFill="1" applyBorder="1" applyAlignment="1">
      <x:alignment horizontal="center" vertical="center" wrapText="1"/>
    </x:xf>
    <x:xf numFmtId="0" fontId="25" fillId="13" borderId="10" xfId="0" applyNumberFormat="1" applyFont="1" applyFill="1" applyBorder="1" applyAlignment="1">
      <x:alignment horizontal="center" vertical="center" wrapText="1"/>
    </x:xf>
    <x:xf numFmtId="0" fontId="24" fillId="13" borderId="11" xfId="0" applyNumberFormat="1" applyFont="1" applyFill="1" applyBorder="1" applyAlignment="1">
      <x:alignment horizontal="center" vertical="center" wrapText="1"/>
    </x:xf>
    <x:xf numFmtId="0" fontId="25" fillId="50" borderId="10" xfId="0" applyNumberFormat="1" applyFont="1" applyFill="1" applyBorder="1" applyAlignment="1">
      <x:alignment horizontal="center" vertical="center" wrapText="1"/>
    </x:xf>
    <x:xf numFmtId="0" fontId="22" fillId="50" borderId="10" xfId="0" applyNumberFormat="1" applyFont="1" applyFill="1" applyBorder="1" applyAlignment="1">
      <x:alignment horizontal="center" vertical="center" wrapText="1"/>
    </x:xf>
    <x:xf numFmtId="0" fontId="24" fillId="50" borderId="11" xfId="0" applyNumberFormat="1" applyFont="1" applyFill="1" applyBorder="1" applyAlignment="1">
      <x:alignment horizontal="center" vertical="center" wrapText="1"/>
    </x:xf>
    <x:xf numFmtId="0" fontId="22" fillId="50" borderId="11" xfId="0" applyNumberFormat="1" applyFont="1" applyFill="1" applyBorder="1" applyAlignment="1">
      <x:alignment horizontal="center" vertical="center" wrapText="1"/>
    </x:xf>
    <x:xf numFmtId="0" fontId="22" fillId="54" borderId="10" xfId="0" applyNumberFormat="1" applyFont="1" applyFill="1" applyBorder="1" applyAlignment="1">
      <x:alignment horizontal="center" vertical="center" wrapText="1"/>
    </x:xf>
    <x:xf numFmtId="0" fontId="22" fillId="52" borderId="10" xfId="0" applyNumberFormat="1" applyFont="1" applyFill="1" applyBorder="1" applyAlignment="1">
      <x:alignment horizontal="center" vertical="center" wrapText="1"/>
    </x:xf>
    <x:xf numFmtId="0" fontId="22" fillId="54" borderId="11" xfId="0" applyNumberFormat="1" applyFont="1" applyFill="1" applyBorder="1" applyAlignment="1">
      <x:alignment horizontal="center" vertical="center" wrapText="1"/>
    </x:xf>
    <x:xf numFmtId="0" fontId="22" fillId="52" borderId="11" xfId="0" applyNumberFormat="1" applyFont="1" applyFill="1" applyBorder="1" applyAlignment="1">
      <x:alignment horizontal="center" vertical="center" wrapText="1"/>
    </x:xf>
    <x:xf numFmtId="201" fontId="8" fillId="10" borderId="4" xfId="0" applyNumberFormat="1" applyFont="1" applyFill="1" applyBorder="1" applyAlignment="1">
      <x:alignment horizontal="center" vertical="center" wrapText="1"/>
    </x:xf>
    <x:xf numFmtId="202" fontId="8" fillId="7" borderId="4" xfId="0" applyNumberFormat="1" applyFont="1" applyFill="1" applyBorder="1" applyAlignment="1">
      <x:alignment horizontal="center" vertical="center" wrapText="1"/>
    </x:xf>
    <x:xf numFmtId="200" fontId="8" fillId="7" borderId="4" xfId="0" applyNumberFormat="1" applyFont="1" applyFill="1" applyBorder="1" applyAlignment="1">
      <x:alignment horizontal="center" vertical="center" wrapText="1"/>
    </x:xf>
    <x:xf numFmtId="200" fontId="8" fillId="10" borderId="4" xfId="0" applyNumberFormat="1" applyFont="1" applyFill="1" applyBorder="1" applyAlignment="1">
      <x:alignment horizontal="center" vertical="center" wrapText="1"/>
    </x:xf>
    <x:xf numFmtId="201" fontId="6" fillId="0" borderId="4" xfId="0" applyNumberFormat="1" applyFont="1" applyFill="1" applyBorder="1" applyAlignment="1">
      <x:alignment horizontal="center" vertical="center"/>
    </x:xf>
    <x:xf numFmtId="202" fontId="6" fillId="7" borderId="4" xfId="0" applyNumberFormat="1" applyFont="1" applyFill="1" applyBorder="1" applyAlignment="1">
      <x:alignment horizontal="center" vertical="center"/>
    </x:xf>
    <x:xf numFmtId="200" fontId="6" fillId="7" borderId="4" xfId="0" applyNumberFormat="1" applyFont="1" applyFill="1" applyBorder="1" applyAlignment="1">
      <x:alignment horizontal="center" vertical="center"/>
    </x:xf>
    <x:xf numFmtId="200" fontId="6" fillId="0" borderId="4" xfId="0" applyNumberFormat="1" applyFont="1" applyFill="1" applyBorder="1" applyAlignment="1">
      <x:alignment horizontal="center" vertical="center"/>
    </x:xf>
    <x:xf numFmtId="201" fontId="25" fillId="28" borderId="10" xfId="0" applyNumberFormat="1" applyFont="1" applyFill="1" applyBorder="1" applyAlignment="1">
      <x:alignment horizontal="center" vertical="center" wrapText="1"/>
    </x:xf>
    <x:xf numFmtId="202" fontId="25" fillId="43" borderId="10" xfId="0" applyNumberFormat="1" applyFont="1" applyFill="1" applyBorder="1" applyAlignment="1">
      <x:alignment horizontal="center" vertical="center" wrapText="1"/>
    </x:xf>
    <x:xf numFmtId="200" fontId="26" fillId="14" borderId="10" xfId="0" applyNumberFormat="1" applyFont="1" applyFill="1" applyBorder="1" applyAlignment="1">
      <x:alignment horizontal="center" vertical="center" wrapText="1"/>
    </x:xf>
    <x:xf numFmtId="200" fontId="25" fillId="43" borderId="10" xfId="0" applyNumberFormat="1" applyFont="1" applyFill="1" applyBorder="1" applyAlignment="1">
      <x:alignment horizontal="center" vertical="center" wrapText="1"/>
    </x:xf>
    <x:xf numFmtId="201" fontId="23" fillId="28" borderId="10" xfId="0" applyNumberFormat="1" applyFont="1" applyFill="1" applyBorder="1" applyAlignment="1">
      <x:alignment vertical="center" wrapText="1"/>
    </x:xf>
    <x:xf numFmtId="202" fontId="23" fillId="43" borderId="10" xfId="0" applyNumberFormat="1" applyFont="1" applyFill="1" applyBorder="1" applyAlignment="1">
      <x:alignment vertical="center" wrapText="1"/>
    </x:xf>
    <x:xf numFmtId="200" fontId="23" fillId="43" borderId="10" xfId="0" applyNumberFormat="1" applyFont="1" applyFill="1" applyBorder="1" applyAlignment="1">
      <x:alignment vertical="center" wrapText="1"/>
    </x:xf>
  </x:cellXfs>
  <x:cellStyles count="2">
    <x:cellStyle name="Normal" xfId="1"/>
    <x:cellStyle name="표준" xfId="0"/>
  </x:cellStyles>
  <x:dxfs count="1">
    <x:dxf>
      <x:font>
        <x:b/>
        <x:color rgb="FF9C0006"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85c9d58ac3408c" /><Relationship Type="http://schemas.openxmlformats.org/officeDocument/2006/relationships/theme" Target="/xl/theme/theme1.xml" Id="Ra0d468fd4d9f4beb" /><Relationship Type="http://schemas.openxmlformats.org/officeDocument/2006/relationships/sharedStrings" Target="/xl/sharedStrings.xml" Id="R1df0150cc43d46b3" /><Relationship Type="http://schemas.openxmlformats.org/officeDocument/2006/relationships/worksheet" Target="/xl/worksheets/sheet1.xml" Id="R76700d82245e4a7e" /><Relationship Type="http://schemas.openxmlformats.org/officeDocument/2006/relationships/worksheet" Target="/xl/worksheets/sheet2.xml" Id="Ra8093bdcae50424d" /><Relationship Type="http://schemas.openxmlformats.org/officeDocument/2006/relationships/worksheet" Target="/xl/worksheets/sheet3.xml" Id="R1cae79b7a8594624" /><Relationship Type="http://schemas.openxmlformats.org/officeDocument/2006/relationships/worksheet" Target="/xl/worksheets/sheet4.xml" Id="Rdb87593570c64cbc" /><Relationship Type="http://schemas.openxmlformats.org/officeDocument/2006/relationships/worksheet" Target="/xl/worksheets/sheet5.xml" Id="Rfe08dd55837440cf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5</xdr:col>
      <xdr:colOff>1402080</xdr:colOff>
      <xdr:row>20</xdr:row>
      <xdr:rowOff>358140</xdr:rowOff>
    </xdr:to>
    <xdr:sp>
      <xdr:nvSpPr>
        <xdr:cNvPr id="1" name="Text Box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7620000" cy="76200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c67abb4977d34aae" /><Relationship Type="http://schemas.openxmlformats.org/officeDocument/2006/relationships/vmlDrawing" Target="/xl/drawings/vmldrawing.vml" Id="R36849cd4fb0a428b" /><Relationship Type="http://schemas.openxmlformats.org/officeDocument/2006/relationships/drawing" Target="/xl/drawings/drawing1.xml" Id="R96accf3820f14e7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.59765625" defaultRowHeight="13.800000190734863"/>
  <x:cols>
    <x:col min="1" max="1" width="8.59765625" customWidth="1"/>
    <x:col min="2" max="2" width="16" customWidth="1"/>
    <x:col min="3" max="3" width="26" customWidth="1"/>
    <x:col min="4" max="4" width="19" customWidth="1"/>
    <x:col min="5" max="5" width="12" customWidth="1"/>
    <x:col min="6" max="6" width="44" customWidth="1"/>
    <x:col min="7" max="7" width="14" customWidth="1"/>
    <x:col min="8" max="8" width="15" customWidth="1"/>
    <x:col min="9" max="9" width="12" customWidth="1"/>
    <x:col min="10" max="10" width="13" customWidth="1"/>
    <x:col min="11" max="11" width="15" customWidth="1"/>
    <x:col min="12" max="12" width="11" customWidth="1"/>
    <x:col min="13" max="13" width="17" customWidth="1"/>
    <x:col min="14" max="14" width="30" customWidth="1"/>
    <x:col min="15" max="26" width="8.59765625" customWidth="1"/>
  </x:cols>
  <x:sheetData>
    <x:row r="2" ht="25.5" customHeight="1">
      <x:c r="B2" s="40" t="str">
        <x:v>※ 2026-10-22 기준 완료율 추정 업데이트 | 실제 완료일·확인된 100% 유지 | 나머지 수치는 팀 자료 기반 추정치(담당자 검증 필요)</x:v>
      </x:c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2"/>
    </x:row>
    <x:row r="3" ht="37.5" customHeight="1">
      <x:c r="B3" s="43" t="s">
        <x:v>0</x:v>
      </x:c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2"/>
    </x:row>
    <x:row r="4" ht="24" customHeight="1">
      <x:c r="B4" s="43" t="s">
        <x:v>1</x:v>
      </x:c>
      <x:c r="C4" s="42"/>
      <x:c r="D4" s="44" t="s">
        <x:v>2</x:v>
      </x:c>
      <x:c r="E4" s="41"/>
      <x:c r="F4" s="41"/>
      <x:c r="G4" s="41"/>
      <x:c r="H4" s="42"/>
      <x:c r="I4" s="1" t="s">
        <x:v>3</x:v>
      </x:c>
      <x:c r="J4" s="2" t="s">
        <x:v>4</x:v>
      </x:c>
      <x:c r="K4" s="43" t="s">
        <x:v>5</x:v>
      </x:c>
      <x:c r="L4" s="41"/>
      <x:c r="M4" s="42"/>
      <x:c r="N4" s="4" t="n">
        <x:v>46317</x:v>
      </x:c>
    </x:row>
    <x:row r="5" ht="24" customHeight="1">
      <x:c r="B5" s="43" t="s">
        <x:v>6</x:v>
      </x:c>
      <x:c r="C5" s="42"/>
      <x:c r="D5" s="44" t="s">
        <x:v>7</x:v>
      </x:c>
      <x:c r="E5" s="42"/>
      <x:c r="F5" s="43" t="s">
        <x:v>8</x:v>
      </x:c>
      <x:c r="G5" s="41"/>
      <x:c r="H5" s="42"/>
      <x:c r="I5" s="45" t="str">
        <x:v>2026. 08. 13 ~ 2026. 12. 11</x:v>
      </x:c>
      <x:c r="J5" s="42"/>
      <x:c r="K5" s="43" t="s">
        <x:v>9</x:v>
      </x:c>
      <x:c r="L5" s="41"/>
      <x:c r="M5" s="42"/>
      <x:c r="N5" s="9" t="n">
        <x:f ca="1">IF(OR(G8="",H8=""),"",IF(H8=G8,IF(TODAY()&gt;=H8,1,0),MAX(0,(TODAY()-G8)/(H8-G8))))</x:f>
        <x:v>0.5833333333333334</x:v>
      </x:c>
    </x:row>
    <x:row r="6" ht="31.5" customHeight="1">
      <x:c r="B6" s="10" t="s">
        <x:v>10</x:v>
      </x:c>
      <x:c r="C6" s="10" t="s">
        <x:v>11</x:v>
      </x:c>
      <x:c r="D6" s="10" t="s">
        <x:v>12</x:v>
      </x:c>
      <x:c r="E6" s="10" t="s">
        <x:v>13</x:v>
      </x:c>
      <x:c r="F6" s="10" t="s">
        <x:v>14</x:v>
      </x:c>
      <x:c r="G6" s="10" t="s">
        <x:v>15</x:v>
      </x:c>
      <x:c r="H6" s="10" t="s">
        <x:v>16</x:v>
      </x:c>
      <x:c r="I6" s="10" t="s">
        <x:v>17</x:v>
      </x:c>
      <x:c r="J6" s="10" t="s">
        <x:v>18</x:v>
      </x:c>
      <x:c r="K6" s="10" t="s">
        <x:v>19</x:v>
      </x:c>
      <x:c r="L6" s="10" t="s">
        <x:v>20</x:v>
      </x:c>
      <x:c r="M6" s="10" t="s">
        <x:v>21</x:v>
      </x:c>
      <x:c r="N6" s="10" t="s">
        <x:v>22</x:v>
      </x:c>
    </x:row>
    <x:row r="7" ht="28.5" customHeight="1">
      <x:c r="B7" s="46" t="s">
        <x:v>23</x:v>
      </x:c>
      <x:c r="C7" s="48" t="s">
        <x:v>24</x:v>
      </x:c>
      <x:c r="D7" s="11" t="s">
        <x:v>25</x:v>
      </x:c>
      <x:c r="E7" s="11" t="s">
        <x:v>26</x:v>
      </x:c>
      <x:c r="F7" s="11" t="s">
        <x:v>27</x:v>
      </x:c>
      <x:c r="G7" s="483">
        <x:v>46247</x:v>
      </x:c>
      <x:c r="H7" s="483">
        <x:v>46260</x:v>
      </x:c>
      <x:c r="I7" s="484" t="n">
        <x:f t="shared" ref="I7:I8" si="0">H7-G7+1</x:f>
        <x:v>14</x:v>
      </x:c>
      <x:c r="J7" s="485" t="n">
        <x:f t="shared" ref="J7:J8" ca="1" si="1">IF(H7=G7,IF(TODAY()&gt;=H7,1,0),MAX(0,(TODAY()-G7)/(H7-G7)))</x:f>
        <x:v>5.384615393518518</x:v>
      </x:c>
      <x:c r="K7" s="12">
        <x:v>46260</x:v>
      </x:c>
      <x:c r="L7" s="486">
        <x:v>1</x:v>
      </x:c>
      <x:c r="M7" s="11" t="s">
        <x:v>4</x:v>
      </x:c>
      <x:c r="N7" s="11" t="s">
        <x:v>28</x:v>
      </x:c>
    </x:row>
    <x:row r="8" ht="28.5" customHeight="1">
      <x:c r="B8" s="47"/>
      <x:c r="C8" s="47"/>
      <x:c r="D8" s="11" t="s">
        <x:v>29</x:v>
      </x:c>
      <x:c r="E8" s="11" t="s">
        <x:v>30</x:v>
      </x:c>
      <x:c r="F8" s="11" t="str">
        <x:v>완료율 평균(기존 완료 실적 + 2026-10-22 문서·개발 로그 기반 추정값; 실측 아님)</x:v>
      </x:c>
      <x:c r="G8" s="483">
        <x:v>46247</x:v>
      </x:c>
      <x:c r="H8" s="483" t="n">
        <x:v>46367</x:v>
      </x:c>
      <x:c r="I8" s="484" t="n">
        <x:f t="shared" si="0">H8-G8+1</x:f>
        <x:v>121</x:v>
      </x:c>
      <x:c r="J8" s="485">
        <x:f t="shared" ca="1" si="1"/>
        <x:v>0.40707964601769914</x:v>
      </x:c>
      <x:c r="K8" s="12"/>
      <x:c r="L8" s="486" t="n">
        <x:f>AVERAGE(L9:L69)</x:f>
        <x:v>0.7368852459016395</x:v>
      </x:c>
      <x:c r="M8" s="11" t="s">
        <x:v>31</x:v>
      </x:c>
      <x:c r="N8" s="11" t="s">
        <x:v>32</x:v>
      </x:c>
    </x:row>
    <x:row r="9" ht="30" customHeight="1">
      <x:c r="B9" s="46" t="s">
        <x:v>33</x:v>
      </x:c>
      <x:c r="C9" s="50" t="s">
        <x:v>34</x:v>
      </x:c>
      <x:c r="D9" s="18" t="s">
        <x:v>35</x:v>
      </x:c>
      <x:c r="E9" s="19" t="s">
        <x:v>33</x:v>
      </x:c>
      <x:c r="F9" s="6" t="s">
        <x:v>36</x:v>
      </x:c>
      <x:c r="G9" s="487">
        <x:v>46254</x:v>
      </x:c>
      <x:c r="H9" s="487">
        <x:v>46254</x:v>
      </x:c>
      <x:c r="I9" s="488" t="n">
        <x:f t="shared" ref="I9:I61" si="2">IF(OR(G9="",H9=""),"",H9-G9+1)</x:f>
        <x:v>1</x:v>
      </x:c>
      <x:c r="J9" s="489" t="n">
        <x:f t="shared" ref="J9:J61" ca="1" si="3">IF(OR(G9="",H9=""),"",IF(H9=G9,IF(TODAY()&gt;=H9,1,0),MAX(0,(TODAY()-G9)/(H9-G9))))</x:f>
        <x:v>1</x:v>
      </x:c>
      <x:c r="K9" s="5">
        <x:v>46254</x:v>
      </x:c>
      <x:c r="L9" s="490">
        <x:v>1</x:v>
      </x:c>
      <x:c r="M9" s="7" t="s">
        <x:v>37</x:v>
      </x:c>
      <x:c r="N9" s="22" t="s">
        <x:v>38</x:v>
      </x:c>
    </x:row>
    <x:row r="10" ht="30" customHeight="1">
      <x:c r="B10" s="49"/>
      <x:c r="C10" s="47"/>
      <x:c r="D10" s="18" t="s">
        <x:v>39</x:v>
      </x:c>
      <x:c r="E10" s="19" t="s">
        <x:v>33</x:v>
      </x:c>
      <x:c r="F10" s="6" t="s">
        <x:v>40</x:v>
      </x:c>
      <x:c r="G10" s="487">
        <x:v>46255</x:v>
      </x:c>
      <x:c r="H10" s="487">
        <x:v>46269</x:v>
      </x:c>
      <x:c r="I10" s="488">
        <x:f t="shared" si="2"/>
        <x:v>15</x:v>
      </x:c>
      <x:c r="J10" s="489">
        <x:f t="shared" ca="1" si="3"/>
        <x:v>2.7142857142857144</x:v>
      </x:c>
      <x:c r="K10" s="5"/>
      <x:c r="L10" s="490" t="n">
        <x:v>0.65</x:v>
      </x:c>
      <x:c r="M10" s="7" t="s">
        <x:v>41</x:v>
      </x:c>
      <x:c r="N10" s="22" t="s">
        <x:v>42</x:v>
      </x:c>
    </x:row>
    <x:row r="11" ht="30" customHeight="1">
      <x:c r="B11" s="49"/>
      <x:c r="C11" s="50" t="s">
        <x:v>43</x:v>
      </x:c>
      <x:c r="D11" s="18" t="s">
        <x:v>35</x:v>
      </x:c>
      <x:c r="E11" s="19" t="s">
        <x:v>33</x:v>
      </x:c>
      <x:c r="F11" s="6" t="s">
        <x:v>44</x:v>
      </x:c>
      <x:c r="G11" s="487">
        <x:v>46254</x:v>
      </x:c>
      <x:c r="H11" s="487">
        <x:v>46254</x:v>
      </x:c>
      <x:c r="I11" s="488">
        <x:f t="shared" si="2"/>
        <x:v>1</x:v>
      </x:c>
      <x:c r="J11" s="489">
        <x:f t="shared" ca="1" si="3"/>
        <x:v>1</x:v>
      </x:c>
      <x:c r="K11" s="5">
        <x:v>46254</x:v>
      </x:c>
      <x:c r="L11" s="490">
        <x:v>1</x:v>
      </x:c>
      <x:c r="M11" s="7" t="s">
        <x:v>45</x:v>
      </x:c>
      <x:c r="N11" s="22" t="s">
        <x:v>46</x:v>
      </x:c>
    </x:row>
    <x:row r="12" ht="30" customHeight="1">
      <x:c r="B12" s="49"/>
      <x:c r="C12" s="47"/>
      <x:c r="D12" s="18" t="s">
        <x:v>39</x:v>
      </x:c>
      <x:c r="E12" s="19" t="s">
        <x:v>33</x:v>
      </x:c>
      <x:c r="F12" s="6" t="s">
        <x:v>47</x:v>
      </x:c>
      <x:c r="G12" s="487">
        <x:v>46255</x:v>
      </x:c>
      <x:c r="H12" s="487">
        <x:v>46276</x:v>
      </x:c>
      <x:c r="I12" s="488">
        <x:f t="shared" si="2"/>
        <x:v>22</x:v>
      </x:c>
      <x:c r="J12" s="489">
        <x:f t="shared" ca="1" si="3"/>
        <x:v>1.8095238095238095</x:v>
      </x:c>
      <x:c r="K12" s="5">
        <x:v>46293</x:v>
      </x:c>
      <x:c r="L12" s="490">
        <x:v>1</x:v>
      </x:c>
      <x:c r="M12" s="7" t="s">
        <x:v>48</x:v>
      </x:c>
      <x:c r="N12" s="22" t="s">
        <x:v>49</x:v>
      </x:c>
    </x:row>
    <x:row r="13" ht="30" customHeight="1">
      <x:c r="B13" s="49"/>
      <x:c r="C13" s="50" t="s">
        <x:v>50</x:v>
      </x:c>
      <x:c r="D13" s="18" t="s">
        <x:v>35</x:v>
      </x:c>
      <x:c r="E13" s="19" t="s">
        <x:v>33</x:v>
      </x:c>
      <x:c r="F13" s="6" t="s">
        <x:v>51</x:v>
      </x:c>
      <x:c r="G13" s="487">
        <x:v>46254</x:v>
      </x:c>
      <x:c r="H13" s="487">
        <x:v>46254</x:v>
      </x:c>
      <x:c r="I13" s="488">
        <x:f t="shared" si="2"/>
        <x:v>1</x:v>
      </x:c>
      <x:c r="J13" s="489">
        <x:f t="shared" ca="1" si="3"/>
        <x:v>1</x:v>
      </x:c>
      <x:c r="K13" s="5">
        <x:v>46254</x:v>
      </x:c>
      <x:c r="L13" s="490">
        <x:v>1</x:v>
      </x:c>
      <x:c r="M13" s="7" t="s">
        <x:v>52</x:v>
      </x:c>
      <x:c r="N13" s="22" t="s">
        <x:v>53</x:v>
      </x:c>
    </x:row>
    <x:row r="14" ht="30" customHeight="1">
      <x:c r="B14" s="49"/>
      <x:c r="C14" s="47"/>
      <x:c r="D14" s="18" t="s">
        <x:v>39</x:v>
      </x:c>
      <x:c r="E14" s="19" t="s">
        <x:v>33</x:v>
      </x:c>
      <x:c r="F14" s="6" t="s">
        <x:v>54</x:v>
      </x:c>
      <x:c r="G14" s="487">
        <x:v>46255</x:v>
      </x:c>
      <x:c r="H14" s="487">
        <x:v>46269</x:v>
      </x:c>
      <x:c r="I14" s="488">
        <x:f t="shared" si="2"/>
        <x:v>15</x:v>
      </x:c>
      <x:c r="J14" s="489">
        <x:f t="shared" ca="1" si="3"/>
        <x:v>2.7142857142857144</x:v>
      </x:c>
      <x:c r="K14" s="5">
        <x:v>46281</x:v>
      </x:c>
      <x:c r="L14" s="490">
        <x:v>1</x:v>
      </x:c>
      <x:c r="M14" s="7" t="s">
        <x:v>52</x:v>
      </x:c>
      <x:c r="N14" s="22" t="s">
        <x:v>55</x:v>
      </x:c>
    </x:row>
    <x:row r="15" ht="30" customHeight="1">
      <x:c r="B15" s="49"/>
      <x:c r="C15" s="50" t="s">
        <x:v>56</x:v>
      </x:c>
      <x:c r="D15" s="18" t="s">
        <x:v>35</x:v>
      </x:c>
      <x:c r="E15" s="19" t="s">
        <x:v>33</x:v>
      </x:c>
      <x:c r="F15" s="6" t="s">
        <x:v>57</x:v>
      </x:c>
      <x:c r="G15" s="487">
        <x:v>46254</x:v>
      </x:c>
      <x:c r="H15" s="487">
        <x:v>46254</x:v>
      </x:c>
      <x:c r="I15" s="488">
        <x:f t="shared" si="2"/>
        <x:v>1</x:v>
      </x:c>
      <x:c r="J15" s="489">
        <x:f t="shared" ca="1" si="3"/>
        <x:v>1</x:v>
      </x:c>
      <x:c r="K15" s="5">
        <x:v>46254</x:v>
      </x:c>
      <x:c r="L15" s="490">
        <x:v>1</x:v>
      </x:c>
      <x:c r="M15" s="7" t="s">
        <x:v>58</x:v>
      </x:c>
      <x:c r="N15" s="22" t="s">
        <x:v>59</x:v>
      </x:c>
    </x:row>
    <x:row r="16" ht="30" customHeight="1">
      <x:c r="B16" s="47"/>
      <x:c r="C16" s="47"/>
      <x:c r="D16" s="18" t="s">
        <x:v>39</x:v>
      </x:c>
      <x:c r="E16" s="19" t="s">
        <x:v>33</x:v>
      </x:c>
      <x:c r="F16" s="6" t="s">
        <x:v>60</x:v>
      </x:c>
      <x:c r="G16" s="487">
        <x:v>46255</x:v>
      </x:c>
      <x:c r="H16" s="487">
        <x:v>46276</x:v>
      </x:c>
      <x:c r="I16" s="488">
        <x:f t="shared" si="2"/>
        <x:v>22</x:v>
      </x:c>
      <x:c r="J16" s="489">
        <x:f t="shared" ca="1" si="3"/>
        <x:v>1.8095238095238095</x:v>
      </x:c>
      <x:c r="K16" s="5"/>
      <x:c r="L16" s="490" t="n">
        <x:v>0.7</x:v>
      </x:c>
      <x:c r="M16" s="7" t="s">
        <x:v>58</x:v>
      </x:c>
      <x:c r="N16" s="22" t="s">
        <x:v>61</x:v>
      </x:c>
    </x:row>
    <x:row r="17" ht="38" customHeight="1">
      <x:c r="B17" s="463" t="str">
        <x:v>프로젝트 기획</x:v>
      </x:c>
      <x:c r="C17" s="469" t="str">
        <x:v>서비스 기획·요구사항</x:v>
      </x:c>
      <x:c r="D17" s="400" t="str">
        <x:v>서비스 범위 정의</x:v>
      </x:c>
      <x:c r="E17" s="379" t="s">
        <x:v>26</x:v>
      </x:c>
      <x:c r="F17" s="364" t="s">
        <x:v>62</x:v>
      </x:c>
      <x:c r="G17" s="491">
        <x:v>46247</x:v>
      </x:c>
      <x:c r="H17" s="491">
        <x:v>46260</x:v>
      </x:c>
      <x:c r="I17" s="492">
        <x:f t="shared" si="2"/>
        <x:v>14</x:v>
      </x:c>
      <x:c r="J17" s="493">
        <x:f t="shared" ca="1" si="3"/>
        <x:v>3.5384615384615383</x:v>
      </x:c>
      <x:c r="K17" s="365">
        <x:v>46259</x:v>
      </x:c>
      <x:c r="L17" s="451">
        <x:v>1</x:v>
      </x:c>
      <x:c r="M17" s="368" t="s">
        <x:v>4</x:v>
      </x:c>
      <x:c r="N17" s="368" t="s">
        <x:v>63</x:v>
      </x:c>
    </x:row>
    <x:row r="18" ht="38" customHeight="1">
      <x:c r="B18" s="464"/>
      <x:c r="C18" s="470"/>
      <x:c r="D18" s="400" t="str">
        <x:v>사용자 시나리오 정의</x:v>
      </x:c>
      <x:c r="E18" s="379" t="s">
        <x:v>26</x:v>
      </x:c>
      <x:c r="F18" s="364" t="s">
        <x:v>64</x:v>
      </x:c>
      <x:c r="G18" s="491">
        <x:v>46247</x:v>
      </x:c>
      <x:c r="H18" s="491">
        <x:v>46269</x:v>
      </x:c>
      <x:c r="I18" s="492">
        <x:f t="shared" si="2"/>
        <x:v>23</x:v>
      </x:c>
      <x:c r="J18" s="493">
        <x:f t="shared" ca="1" si="3"/>
        <x:v>2.0909090909090908</x:v>
      </x:c>
      <x:c r="K18" s="365">
        <x:v>46273</x:v>
      </x:c>
      <x:c r="L18" s="451">
        <x:v>1</x:v>
      </x:c>
      <x:c r="M18" s="368" t="s">
        <x:v>65</x:v>
      </x:c>
      <x:c r="N18" s="368" t="s">
        <x:v>66</x:v>
      </x:c>
    </x:row>
    <x:row r="19" ht="38" customHeight="1">
      <x:c r="B19" s="464"/>
      <x:c r="C19" s="470"/>
      <x:c r="D19" s="400" t="str">
        <x:v>요구사항·기능 명세</x:v>
      </x:c>
      <x:c r="E19" s="382" t="str">
        <x:v>문서화</x:v>
      </x:c>
      <x:c r="F19" s="364" t="str">
        <x:v>기존 요구사항·기능 명세 초안 작성; 최신 Figma 및 팀 계약 반영한 12월 최종본 검토·확정 필요</x:v>
      </x:c>
      <x:c r="G19" s="491">
        <x:v>46253</x:v>
      </x:c>
      <x:c r="H19" s="491">
        <x:v>46276</x:v>
      </x:c>
      <x:c r="I19" s="492">
        <x:f t="shared" si="2"/>
        <x:v>24</x:v>
      </x:c>
      <x:c r="J19" s="493">
        <x:f t="shared" ca="1" si="3"/>
        <x:v>1.7391304347826086</x:v>
      </x:c>
      <x:c r="K19" s="365">
        <x:v>46273</x:v>
      </x:c>
      <x:c r="L19" s="451">
        <x:v>1</x:v>
      </x:c>
      <x:c r="M19" s="368" t="s">
        <x:v>67</x:v>
      </x:c>
      <x:c r="N19" s="368" t="s">
        <x:v>68</x:v>
      </x:c>
    </x:row>
    <x:row r="20" ht="38" customHeight="1">
      <x:c r="B20" s="464"/>
      <x:c r="C20" s="470"/>
      <x:c r="D20" s="400" t="str">
        <x:v>12월 구현 범위 확정</x:v>
      </x:c>
      <x:c r="E20" s="379" t="str">
        <x:v>기획</x:v>
      </x:c>
      <x:c r="F20" s="364" t="str">
        <x:v>최신 Figma·기존 명세·개발 계약 대조; 실제 시연 대상과 미확정 기능 구분</x:v>
      </x:c>
      <x:c r="G20" s="491" t="n">
        <x:v>46317</x:v>
      </x:c>
      <x:c r="H20" s="491" t="n">
        <x:v>46365</x:v>
      </x:c>
      <x:c r="I20" s="492" t="n">
        <x:f t="shared" si="2">H20-G20+1</x:f>
        <x:v>49</x:v>
      </x:c>
      <x:c r="J20" s="494" t="n">
        <x:f t="shared" ca="1" si="3">IF(TODAY()&lt;G20,0,IF(TODAY()&gt;H20,1,(TODAY()-G20+1)/I20))</x:f>
        <x:v>0.020408171296296296</x:v>
      </x:c>
      <x:c r="K20" s="365"/>
      <x:c r="L20" s="451" t="n">
        <x:v>0.65</x:v>
      </x:c>
      <x:c r="M20" s="368" t="str">
        <x:v>정수빈·이가희</x:v>
      </x:c>
      <x:c r="N20" s="368" t="str">
        <x:v>12월 요구사항 정의서·기능 명세서 최종 승인 | 완료율: 문서·개발 로그 기반 추정, 담당자 확인 필요</x:v>
      </x:c>
    </x:row>
    <x:row r="21" ht="38" customHeight="1">
      <x:c r="B21" s="464"/>
      <x:c r="C21" s="470"/>
      <x:c r="D21" s="400" t="str">
        <x:v>AI 분석 범위 정의</x:v>
      </x:c>
      <x:c r="E21" s="382" t="str">
        <x:v>분석</x:v>
      </x:c>
      <x:c r="F21" s="364" t="s">
        <x:v>69</x:v>
      </x:c>
      <x:c r="G21" s="491">
        <x:v>46253</x:v>
      </x:c>
      <x:c r="H21" s="491">
        <x:v>46276</x:v>
      </x:c>
      <x:c r="I21" s="492">
        <x:f t="shared" si="2"/>
        <x:v>24</x:v>
      </x:c>
      <x:c r="J21" s="493">
        <x:f t="shared" ca="1" si="3"/>
        <x:v>1.7391304347826086</x:v>
      </x:c>
      <x:c r="K21" s="365"/>
      <x:c r="L21" s="451" t="n">
        <x:v>0.85</x:v>
      </x:c>
      <x:c r="M21" s="368" t="s">
        <x:v>58</x:v>
      </x:c>
      <x:c r="N21" s="368" t="s">
        <x:v>70</x:v>
      </x:c>
    </x:row>
    <x:row r="22" ht="38" customHeight="1">
      <x:c r="B22" s="464"/>
      <x:c r="C22" s="470"/>
      <x:c r="D22" s="400" t="str">
        <x:v>WBS·일정 관리</x:v>
      </x:c>
      <x:c r="E22" s="379" t="s">
        <x:v>26</x:v>
      </x:c>
      <x:c r="F22" s="364" t="str">
        <x:v>진행일지·WBS 운영 및 10/22 기준 팀별 개발 계약·추가 기능·최종 일정 반영</x:v>
      </x:c>
      <x:c r="G22" s="491">
        <x:v>46253</x:v>
      </x:c>
      <x:c r="H22" s="491">
        <x:v>46360</x:v>
      </x:c>
      <x:c r="I22" s="492">
        <x:f t="shared" si="2"/>
        <x:v>108</x:v>
      </x:c>
      <x:c r="J22" s="494">
        <x:f t="shared" ca="1" si="3"/>
        <x:v>0.37383177570093457</x:v>
      </x:c>
      <x:c r="K22" s="365"/>
      <x:c r="L22" s="451" t="n">
        <x:v>0.75</x:v>
      </x:c>
      <x:c r="M22" s="368" t="s">
        <x:v>4</x:v>
      </x:c>
      <x:c r="N22" s="368" t="s">
        <x:v>71</x:v>
      </x:c>
    </x:row>
    <x:row r="23" ht="38" customHeight="1">
      <x:c r="B23" s="464"/>
      <x:c r="C23" s="469" t="str">
        <x:v>화면·DB 설계</x:v>
      </x:c>
      <x:c r="D23" s="400" t="str">
        <x:v>서비스 흐름 설계</x:v>
      </x:c>
      <x:c r="E23" s="385" t="s">
        <x:v>72</x:v>
      </x:c>
      <x:c r="F23" s="364" t="s">
        <x:v>73</x:v>
      </x:c>
      <x:c r="G23" s="491">
        <x:v>46247</x:v>
      </x:c>
      <x:c r="H23" s="491">
        <x:v>46290</x:v>
      </x:c>
      <x:c r="I23" s="492">
        <x:f t="shared" si="2"/>
        <x:v>44</x:v>
      </x:c>
      <x:c r="J23" s="493">
        <x:f t="shared" ca="1" si="3"/>
        <x:v>1.069767441860465</x:v>
      </x:c>
      <x:c r="K23" s="365"/>
      <x:c r="L23" s="451" t="n">
        <x:v>0.95</x:v>
      </x:c>
      <x:c r="M23" s="368" t="s">
        <x:v>65</x:v>
      </x:c>
      <x:c r="N23" s="368" t="s">
        <x:v>74</x:v>
      </x:c>
    </x:row>
    <x:row r="24" ht="38" customHeight="1">
      <x:c r="B24" s="464"/>
      <x:c r="C24" s="470"/>
      <x:c r="D24" s="400" t="str">
        <x:v>공통 UI·UX 설계</x:v>
      </x:c>
      <x:c r="E24" s="385" t="s">
        <x:v>72</x:v>
      </x:c>
      <x:c r="F24" s="364" t="s">
        <x:v>75</x:v>
      </x:c>
      <x:c r="G24" s="491">
        <x:v>46247</x:v>
      </x:c>
      <x:c r="H24" s="491">
        <x:v>46297</x:v>
      </x:c>
      <x:c r="I24" s="492">
        <x:f t="shared" si="2"/>
        <x:v>51</x:v>
      </x:c>
      <x:c r="J24" s="494">
        <x:f t="shared" ca="1" si="3"/>
        <x:v>0.92</x:v>
      </x:c>
      <x:c r="K24" s="365"/>
      <x:c r="L24" s="451" t="n">
        <x:v>0.95</x:v>
      </x:c>
      <x:c r="M24" s="368" t="s">
        <x:v>7</x:v>
      </x:c>
      <x:c r="N24" s="368" t="str">
        <x:v>Figma 최신 Main 화면 PDF 80쪽(10/22 기준), 실제 동작 검증 별도</x:v>
      </x:c>
    </x:row>
    <x:row r="25" ht="38" customHeight="1">
      <x:c r="B25" s="464"/>
      <x:c r="C25" s="470"/>
      <x:c r="D25" s="400" t="str">
        <x:v>건강 데이터 화면 설계</x:v>
      </x:c>
      <x:c r="E25" s="385" t="s">
        <x:v>72</x:v>
      </x:c>
      <x:c r="F25" s="364" t="s">
        <x:v>76</x:v>
      </x:c>
      <x:c r="G25" s="491">
        <x:v>46253</x:v>
      </x:c>
      <x:c r="H25" s="491">
        <x:v>46297</x:v>
      </x:c>
      <x:c r="I25" s="492">
        <x:f t="shared" si="2"/>
        <x:v>45</x:v>
      </x:c>
      <x:c r="J25" s="494">
        <x:f t="shared" ca="1" si="3"/>
        <x:v>0.90909090909090906</x:v>
      </x:c>
      <x:c r="K25" s="365"/>
      <x:c r="L25" s="451" t="n">
        <x:v>0.95</x:v>
      </x:c>
      <x:c r="M25" s="368" t="s">
        <x:v>7</x:v>
      </x:c>
      <x:c r="N25" s="368" t="s">
        <x:v>77</x:v>
      </x:c>
    </x:row>
    <x:row r="26" ht="38" customHeight="1">
      <x:c r="B26" s="464"/>
      <x:c r="C26" s="470"/>
      <x:c r="D26" s="400" t="str">
        <x:v>추천·코칭 화면 설계</x:v>
      </x:c>
      <x:c r="E26" s="385" t="s">
        <x:v>72</x:v>
      </x:c>
      <x:c r="F26" s="364" t="str">
        <x:v>식단·운동·러닝·커뮤니티·기록 화면 설계 및 최신 Figma 대조</x:v>
      </x:c>
      <x:c r="G26" s="491">
        <x:v>46255</x:v>
      </x:c>
      <x:c r="H26" s="491">
        <x:v>46297</x:v>
      </x:c>
      <x:c r="I26" s="492">
        <x:f t="shared" si="2"/>
        <x:v>43</x:v>
      </x:c>
      <x:c r="J26" s="494">
        <x:f t="shared" ca="1" si="3"/>
        <x:v>0.90476190476190477</x:v>
      </x:c>
      <x:c r="K26" s="365"/>
      <x:c r="L26" s="451" t="n">
        <x:v>0.9</x:v>
      </x:c>
      <x:c r="M26" s="368" t="s">
        <x:v>7</x:v>
      </x:c>
      <x:c r="N26" s="368" t="s">
        <x:v>78</x:v>
      </x:c>
    </x:row>
    <x:row r="27" ht="38" customHeight="1">
      <x:c r="B27" s="464"/>
      <x:c r="C27" s="470"/>
      <x:c r="D27" s="400" t="str">
        <x:v>데이터베이스 구조 설계</x:v>
      </x:c>
      <x:c r="E27" s="385" t="s">
        <x:v>72</x:v>
      </x:c>
      <x:c r="F27" s="364" t="s">
        <x:v>79</x:v>
      </x:c>
      <x:c r="G27" s="491">
        <x:v>46247</x:v>
      </x:c>
      <x:c r="H27" s="491">
        <x:v>46297</x:v>
      </x:c>
      <x:c r="I27" s="492">
        <x:f t="shared" si="2"/>
        <x:v>51</x:v>
      </x:c>
      <x:c r="J27" s="494">
        <x:f t="shared" ca="1" si="3"/>
        <x:v>0.92</x:v>
      </x:c>
      <x:c r="K27" s="365">
        <x:v>46293</x:v>
      </x:c>
      <x:c r="L27" s="451">
        <x:v>1</x:v>
      </x:c>
      <x:c r="M27" s="368" t="s">
        <x:v>52</x:v>
      </x:c>
      <x:c r="N27" s="368" t="s">
        <x:v>80</x:v>
      </x:c>
    </x:row>
    <x:row r="28" ht="38" customHeight="1">
      <x:c r="B28" s="463" t="str">
        <x:v>데이터 구축</x:v>
      </x:c>
      <x:c r="C28" s="469" t="str">
        <x:v>데이터 수집·전처리</x:v>
      </x:c>
      <x:c r="D28" s="400" t="str">
        <x:v>데이터 항목 정의</x:v>
      </x:c>
      <x:c r="E28" s="382" t="s">
        <x:v>81</x:v>
      </x:c>
      <x:c r="F28" s="364" t="s">
        <x:v>82</x:v>
      </x:c>
      <x:c r="G28" s="491">
        <x:v>46247</x:v>
      </x:c>
      <x:c r="H28" s="491">
        <x:v>46269</x:v>
      </x:c>
      <x:c r="I28" s="492">
        <x:f t="shared" si="2"/>
        <x:v>23</x:v>
      </x:c>
      <x:c r="J28" s="493">
        <x:f t="shared" ca="1" si="3"/>
        <x:v>2.0909090909090908</x:v>
      </x:c>
      <x:c r="K28" s="365"/>
      <x:c r="L28" s="451" t="n">
        <x:v>0.95</x:v>
      </x:c>
      <x:c r="M28" s="368" t="s">
        <x:v>37</x:v>
      </x:c>
      <x:c r="N28" s="368" t="s">
        <x:v>83</x:v>
      </x:c>
    </x:row>
    <x:row r="29" ht="38" customHeight="1">
      <x:c r="B29" s="464"/>
      <x:c r="C29" s="472"/>
      <x:c r="D29" s="400" t="str">
        <x:v>합성 데이터 구축</x:v>
      </x:c>
      <x:c r="E29" s="387" t="str">
        <x:v>구현</x:v>
      </x:c>
      <x:c r="F29" s="364" t="s">
        <x:v>84</x:v>
      </x:c>
      <x:c r="G29" s="491">
        <x:v>46253</x:v>
      </x:c>
      <x:c r="H29" s="491">
        <x:v>46290</x:v>
      </x:c>
      <x:c r="I29" s="492">
        <x:f t="shared" si="2"/>
        <x:v>38</x:v>
      </x:c>
      <x:c r="J29" s="493">
        <x:f t="shared" ca="1" si="3"/>
        <x:v>1.0810810810810811</x:v>
      </x:c>
      <x:c r="K29" s="365"/>
      <x:c r="L29" s="451" t="n">
        <x:v>0.9</x:v>
      </x:c>
      <x:c r="M29" s="368" t="s">
        <x:v>37</x:v>
      </x:c>
      <x:c r="N29" s="368" t="s">
        <x:v>85</x:v>
      </x:c>
    </x:row>
    <x:row r="30" ht="38" customHeight="1">
      <x:c r="B30" s="464"/>
      <x:c r="C30" s="472"/>
      <x:c r="D30" s="400" t="str">
        <x:v>OCR 학습·검증 샘플</x:v>
      </x:c>
      <x:c r="E30" s="382" t="s">
        <x:v>81</x:v>
      </x:c>
      <x:c r="F30" s="364" t="s">
        <x:v>86</x:v>
      </x:c>
      <x:c r="G30" s="491">
        <x:v>46247</x:v>
      </x:c>
      <x:c r="H30" s="491">
        <x:v>46290</x:v>
      </x:c>
      <x:c r="I30" s="492">
        <x:f t="shared" si="2"/>
        <x:v>44</x:v>
      </x:c>
      <x:c r="J30" s="493">
        <x:f t="shared" ca="1" si="3"/>
        <x:v>1.069767441860465</x:v>
      </x:c>
      <x:c r="K30" s="365"/>
      <x:c r="L30" s="451" t="n">
        <x:v>0.95</x:v>
      </x:c>
      <x:c r="M30" s="368" t="s">
        <x:v>37</x:v>
      </x:c>
      <x:c r="N30" s="368" t="s">
        <x:v>87</x:v>
      </x:c>
    </x:row>
    <x:row r="31" ht="38" customHeight="1">
      <x:c r="B31" s="464"/>
      <x:c r="C31" s="472"/>
      <x:c r="D31" s="400" t="str">
        <x:v>RAG 근거자료 구축</x:v>
      </x:c>
      <x:c r="E31" s="382" t="s">
        <x:v>81</x:v>
      </x:c>
      <x:c r="F31" s="364" t="s">
        <x:v>88</x:v>
      </x:c>
      <x:c r="G31" s="491">
        <x:v>46272</x:v>
      </x:c>
      <x:c r="H31" s="491">
        <x:v>46297</x:v>
      </x:c>
      <x:c r="I31" s="492">
        <x:f t="shared" si="2"/>
        <x:v>26</x:v>
      </x:c>
      <x:c r="J31" s="494">
        <x:f t="shared" ca="1" si="3"/>
        <x:v>0.84</x:v>
      </x:c>
      <x:c r="K31" s="365"/>
      <x:c r="L31" s="451" t="n">
        <x:v>0.95</x:v>
      </x:c>
      <x:c r="M31" s="368" t="s">
        <x:v>58</x:v>
      </x:c>
      <x:c r="N31" s="368" t="str">
        <x:v>RAG 자료 6종 로컬 파일(2026-10-16 자료); 청크 수는 기존 WBS 기록</x:v>
      </x:c>
    </x:row>
    <x:row r="32" ht="38" customHeight="1">
      <x:c r="B32" s="464"/>
      <x:c r="C32" s="472"/>
      <x:c r="D32" s="400" t="str">
        <x:v>데이터 처리 정책</x:v>
      </x:c>
      <x:c r="E32" s="379" t="str">
        <x:v>기획</x:v>
      </x:c>
      <x:c r="F32" s="364" t="s">
        <x:v>89</x:v>
      </x:c>
      <x:c r="G32" s="491">
        <x:v>46253</x:v>
      </x:c>
      <x:c r="H32" s="491">
        <x:v>46290</x:v>
      </x:c>
      <x:c r="I32" s="492">
        <x:f t="shared" si="2"/>
        <x:v>38</x:v>
      </x:c>
      <x:c r="J32" s="493">
        <x:f t="shared" ca="1" si="3"/>
        <x:v>1.0810810810810811</x:v>
      </x:c>
      <x:c r="K32" s="365"/>
      <x:c r="L32" s="451" t="n">
        <x:v>0.85</x:v>
      </x:c>
      <x:c r="M32" s="368" t="s">
        <x:v>67</x:v>
      </x:c>
      <x:c r="N32" s="368" t="s">
        <x:v>90</x:v>
      </x:c>
    </x:row>
    <x:row r="33" ht="38" customHeight="1">
      <x:c r="B33" s="463" t="str">
        <x:v>프로젝트 기능구현</x:v>
      </x:c>
      <x:c r="C33" s="469" t="str">
        <x:v>백엔드·데이터베이스</x:v>
      </x:c>
      <x:c r="D33" s="400" t="str">
        <x:v>백엔드 서버 구축</x:v>
      </x:c>
      <x:c r="E33" s="387" t="s">
        <x:v>91</x:v>
      </x:c>
      <x:c r="F33" s="364" t="s">
        <x:v>92</x:v>
      </x:c>
      <x:c r="G33" s="491">
        <x:v>46300</x:v>
      </x:c>
      <x:c r="H33" s="491">
        <x:v>46311</x:v>
      </x:c>
      <x:c r="I33" s="492">
        <x:f t="shared" si="2"/>
        <x:v>12</x:v>
      </x:c>
      <x:c r="J33" s="494">
        <x:f t="shared" ca="1" si="3"/>
        <x:v>0</x:v>
      </x:c>
      <x:c r="K33" s="365">
        <x:v>46273</x:v>
      </x:c>
      <x:c r="L33" s="451">
        <x:v>1</x:v>
      </x:c>
      <x:c r="M33" s="368" t="s">
        <x:v>52</x:v>
      </x:c>
      <x:c r="N33" s="368" t="s">
        <x:v>93</x:v>
      </x:c>
    </x:row>
    <x:row r="34" ht="38" customHeight="1">
      <x:c r="B34" s="464"/>
      <x:c r="C34" s="474"/>
      <x:c r="D34" s="400" t="str">
        <x:v>회원·인증 API</x:v>
      </x:c>
      <x:c r="E34" s="387" t="s">
        <x:v>91</x:v>
      </x:c>
      <x:c r="F34" s="364" t="s">
        <x:v>94</x:v>
      </x:c>
      <x:c r="G34" s="491">
        <x:v>46300</x:v>
      </x:c>
      <x:c r="H34" s="491">
        <x:v>46318</x:v>
      </x:c>
      <x:c r="I34" s="492">
        <x:f t="shared" si="2"/>
        <x:v>19</x:v>
      </x:c>
      <x:c r="J34" s="494">
        <x:f t="shared" ca="1" si="3"/>
        <x:v>0</x:v>
      </x:c>
      <x:c r="K34" s="365">
        <x:v>46280</x:v>
      </x:c>
      <x:c r="L34" s="451">
        <x:v>1</x:v>
      </x:c>
      <x:c r="M34" s="368" t="s">
        <x:v>52</x:v>
      </x:c>
      <x:c r="N34" s="368" t="s">
        <x:v>95</x:v>
      </x:c>
    </x:row>
    <x:row r="35" ht="38" customHeight="1">
      <x:c r="B35" s="464"/>
      <x:c r="C35" s="474"/>
      <x:c r="D35" s="400" t="str">
        <x:v>건강 데이터 API</x:v>
      </x:c>
      <x:c r="E35" s="387" t="s">
        <x:v>91</x:v>
      </x:c>
      <x:c r="F35" s="364" t="s">
        <x:v>96</x:v>
      </x:c>
      <x:c r="G35" s="491">
        <x:v>46300</x:v>
      </x:c>
      <x:c r="H35" s="491">
        <x:v>46325</x:v>
      </x:c>
      <x:c r="I35" s="492">
        <x:f t="shared" si="2"/>
        <x:v>26</x:v>
      </x:c>
      <x:c r="J35" s="494">
        <x:f t="shared" ca="1" si="3"/>
        <x:v>0</x:v>
      </x:c>
      <x:c r="K35" s="365">
        <x:v>46293</x:v>
      </x:c>
      <x:c r="L35" s="451">
        <x:v>1</x:v>
      </x:c>
      <x:c r="M35" s="368" t="s">
        <x:v>52</x:v>
      </x:c>
      <x:c r="N35" s="368" t="s">
        <x:v>97</x:v>
      </x:c>
    </x:row>
    <x:row r="36" ht="38" customHeight="1">
      <x:c r="B36" s="464"/>
      <x:c r="C36" s="474"/>
      <x:c r="D36" s="400" t="str">
        <x:v>기본 DB 연동</x:v>
      </x:c>
      <x:c r="E36" s="387" t="s">
        <x:v>91</x:v>
      </x:c>
      <x:c r="F36" s="364" t="str">
        <x:v>사용자·건강데이터·분석·추천 이력 DB 연동; 주간 식단 7일×4끼 로컬 구현 및 원격 적용 검증</x:v>
      </x:c>
      <x:c r="G36" s="491">
        <x:v>46300</x:v>
      </x:c>
      <x:c r="H36" s="491">
        <x:v>46325</x:v>
      </x:c>
      <x:c r="I36" s="492">
        <x:f t="shared" si="2"/>
        <x:v>26</x:v>
      </x:c>
      <x:c r="J36" s="494">
        <x:f t="shared" ca="1" si="3"/>
        <x:v>0</x:v>
      </x:c>
      <x:c r="K36" s="365"/>
      <x:c r="L36" s="451" t="n">
        <x:v>0.85</x:v>
      </x:c>
      <x:c r="M36" s="368" t="s">
        <x:v>52</x:v>
      </x:c>
      <x:c r="N36" s="368" t="s">
        <x:v>98</x:v>
      </x:c>
    </x:row>
    <x:row r="37" ht="38" customHeight="1">
      <x:c r="B37" s="464"/>
      <x:c r="C37" s="474"/>
      <x:c r="D37" s="400" t="str">
        <x:v>커뮤니티 DB·API</x:v>
      </x:c>
      <x:c r="E37" s="387" t="str">
        <x:v>구현</x:v>
      </x:c>
      <x:c r="F37" s="364" t="str">
        <x:v>게시글·댓글·좋아요·신고·차단 및 클럽·운영·메시지 관련 적용 상태 검증</x:v>
      </x:c>
      <x:c r="G37" s="491" t="n">
        <x:v>46317</x:v>
      </x:c>
      <x:c r="H37" s="491" t="n">
        <x:v>46365</x:v>
      </x:c>
      <x:c r="I37" s="492" t="n">
        <x:f t="shared" si="2">H37-G37+1</x:f>
        <x:v>49</x:v>
      </x:c>
      <x:c r="J37" s="494" t="n">
        <x:f t="shared" ca="1" si="3">IF(TODAY()&lt;G37,0,IF(TODAY()&gt;H37,1,(TODAY()-G37+1)/I37))</x:f>
        <x:v>0.020408171296296296</x:v>
      </x:c>
      <x:c r="K37" s="365"/>
      <x:c r="L37" s="451" t="n">
        <x:v>0.85</x:v>
      </x:c>
      <x:c r="M37" s="368" t="str">
        <x:v>김현호·정수빈</x:v>
      </x:c>
      <x:c r="N37" s="368" t="str">
        <x:v>커뮤니티 migrations·API·권한·배포 확인서 | 완료율: 문서·개발 로그 기반 추정, 담당자 확인 필요</x:v>
      </x:c>
    </x:row>
    <x:row r="38" ht="38" customHeight="1">
      <x:c r="B38" s="464"/>
      <x:c r="C38" s="474"/>
      <x:c r="D38" s="400" t="str">
        <x:v>주간 식단 DB·API</x:v>
      </x:c>
      <x:c r="E38" s="387" t="str">
        <x:v>구현</x:v>
      </x:c>
      <x:c r="F38" s="364" t="str">
        <x:v>7일×4끼(28끼) 주간 식단 저장·조회·한 끼 교체; 원격 DB 적용·실제 AI 연동</x:v>
      </x:c>
      <x:c r="G38" s="491" t="n">
        <x:v>46317</x:v>
      </x:c>
      <x:c r="H38" s="491" t="n">
        <x:v>46365</x:v>
      </x:c>
      <x:c r="I38" s="492" t="n">
        <x:f t="shared" si="2">H38-G38+1</x:f>
        <x:v>49</x:v>
      </x:c>
      <x:c r="J38" s="494" t="n">
        <x:f t="shared" ca="1" si="3">IF(TODAY()&lt;G38,0,IF(TODAY()&gt;H38,1,(TODAY()-G38+1)/I38))</x:f>
        <x:v>0.020408171296296296</x:v>
      </x:c>
      <x:c r="K38" s="365"/>
      <x:c r="L38" s="451" t="n">
        <x:v>0.55</x:v>
      </x:c>
      <x:c r="M38" s="368" t="str">
        <x:v>김현호·이병희</x:v>
      </x:c>
      <x:c r="N38" s="368" t="str">
        <x:v>주간 식단 API·DB migration·E2E 결과 | 완료율: 문서·개발 로그 기반 추정, 담당자 확인 필요</x:v>
      </x:c>
    </x:row>
    <x:row r="39" ht="38" customHeight="1">
      <x:c r="B39" s="464"/>
      <x:c r="C39" s="474"/>
      <x:c r="D39" s="400" t="str">
        <x:v>API 명세 문서화</x:v>
      </x:c>
      <x:c r="E39" s="370" t="str">
        <x:v>문서화</x:v>
      </x:c>
      <x:c r="F39" s="364" t="s">
        <x:v>99</x:v>
      </x:c>
      <x:c r="G39" s="491">
        <x:v>46314</x:v>
      </x:c>
      <x:c r="H39" s="491">
        <x:v>46332</x:v>
      </x:c>
      <x:c r="I39" s="492">
        <x:f t="shared" si="2"/>
        <x:v>19</x:v>
      </x:c>
      <x:c r="J39" s="494">
        <x:f t="shared" ca="1" si="3"/>
        <x:v>0</x:v>
      </x:c>
      <x:c r="K39" s="365">
        <x:v>46293</x:v>
      </x:c>
      <x:c r="L39" s="451">
        <x:v>1</x:v>
      </x:c>
      <x:c r="M39" s="368" t="s">
        <x:v>52</x:v>
      </x:c>
      <x:c r="N39" s="368" t="str">
        <x:v>Swagger·OpenAPI 문서; 최신 경로 수/운영 반영은 재확인 필요</x:v>
      </x:c>
    </x:row>
    <x:row r="40" ht="38" customHeight="1">
      <x:c r="B40" s="464"/>
      <x:c r="C40" s="469" t="str">
        <x:v>OCR·건강 분석</x:v>
      </x:c>
      <x:c r="D40" s="400" t="str">
        <x:v>건강 문서 업로드</x:v>
      </x:c>
      <x:c r="E40" s="387" t="s">
        <x:v>91</x:v>
      </x:c>
      <x:c r="F40" s="364" t="s">
        <x:v>100</x:v>
      </x:c>
      <x:c r="G40" s="491">
        <x:v>46300</x:v>
      </x:c>
      <x:c r="H40" s="491">
        <x:v>46318</x:v>
      </x:c>
      <x:c r="I40" s="492">
        <x:f t="shared" si="2"/>
        <x:v>19</x:v>
      </x:c>
      <x:c r="J40" s="494">
        <x:f t="shared" ca="1" si="3"/>
        <x:v>0</x:v>
      </x:c>
      <x:c r="K40" s="365"/>
      <x:c r="L40" s="451" t="n">
        <x:v>0.9</x:v>
      </x:c>
      <x:c r="M40" s="368" t="s">
        <x:v>101</x:v>
      </x:c>
      <x:c r="N40" s="368" t="s">
        <x:v>102</x:v>
      </x:c>
    </x:row>
    <x:row r="41" ht="38" customHeight="1">
      <x:c r="B41" s="464"/>
      <x:c r="C41" s="474"/>
      <x:c r="D41" s="400" t="str">
        <x:v>건강 문서 OCR 추출</x:v>
      </x:c>
      <x:c r="E41" s="387" t="s">
        <x:v>91</x:v>
      </x:c>
      <x:c r="F41" s="364" t="s">
        <x:v>103</x:v>
      </x:c>
      <x:c r="G41" s="491">
        <x:v>46307</x:v>
      </x:c>
      <x:c r="H41" s="491">
        <x:v>46332</x:v>
      </x:c>
      <x:c r="I41" s="492">
        <x:f t="shared" si="2"/>
        <x:v>26</x:v>
      </x:c>
      <x:c r="J41" s="494">
        <x:f t="shared" ca="1" si="3"/>
        <x:v>0</x:v>
      </x:c>
      <x:c r="K41" s="365">
        <x:v>46293</x:v>
      </x:c>
      <x:c r="L41" s="451">
        <x:v>1</x:v>
      </x:c>
      <x:c r="M41" s="368" t="s">
        <x:v>41</x:v>
      </x:c>
      <x:c r="N41" s="368" t="str">
        <x:v>기존 WBS 기록: OCR v0.2.4·4종 양식·20건 415/415 (신규 정확도 평가와 별개)</x:v>
      </x:c>
    </x:row>
    <x:row r="42" ht="38" customHeight="1">
      <x:c r="B42" s="464"/>
      <x:c r="C42" s="474"/>
      <x:c r="D42" s="400" t="str">
        <x:v>OCR 결과 확인·수정</x:v>
      </x:c>
      <x:c r="E42" s="387" t="s">
        <x:v>91</x:v>
      </x:c>
      <x:c r="F42" s="364" t="s">
        <x:v>104</x:v>
      </x:c>
      <x:c r="G42" s="491">
        <x:v>46314</x:v>
      </x:c>
      <x:c r="H42" s="491">
        <x:v>46339</x:v>
      </x:c>
      <x:c r="I42" s="492">
        <x:f t="shared" si="2"/>
        <x:v>26</x:v>
      </x:c>
      <x:c r="J42" s="494">
        <x:f t="shared" ca="1" si="3"/>
        <x:v>0</x:v>
      </x:c>
      <x:c r="K42" s="365"/>
      <x:c r="L42" s="451" t="n">
        <x:v>0.9</x:v>
      </x:c>
      <x:c r="M42" s="368" t="s">
        <x:v>101</x:v>
      </x:c>
      <x:c r="N42" s="368" t="s">
        <x:v>105</x:v>
      </x:c>
    </x:row>
    <x:row r="43" ht="38" customHeight="1">
      <x:c r="B43" s="464"/>
      <x:c r="C43" s="474"/>
      <x:c r="D43" s="400" t="str">
        <x:v>체성분 규칙 분석</x:v>
      </x:c>
      <x:c r="E43" s="387" t="s">
        <x:v>91</x:v>
      </x:c>
      <x:c r="F43" s="364" t="s">
        <x:v>106</x:v>
      </x:c>
      <x:c r="G43" s="491">
        <x:v>46307</x:v>
      </x:c>
      <x:c r="H43" s="491">
        <x:v>46332</x:v>
      </x:c>
      <x:c r="I43" s="492">
        <x:f t="shared" si="2"/>
        <x:v>26</x:v>
      </x:c>
      <x:c r="J43" s="494">
        <x:f t="shared" ca="1" si="3"/>
        <x:v>0</x:v>
      </x:c>
      <x:c r="K43" s="365"/>
      <x:c r="L43" s="451" t="n">
        <x:v>0.8</x:v>
      </x:c>
      <x:c r="M43" s="368" t="s">
        <x:v>41</x:v>
      </x:c>
      <x:c r="N43" s="368" t="s">
        <x:v>107</x:v>
      </x:c>
    </x:row>
    <x:row r="44" ht="38" customHeight="1">
      <x:c r="B44" s="464"/>
      <x:c r="C44" s="474"/>
      <x:c r="D44" s="400" t="str">
        <x:v>통합 건강 분석</x:v>
      </x:c>
      <x:c r="E44" s="387" t="s">
        <x:v>91</x:v>
      </x:c>
      <x:c r="F44" s="364" t="s">
        <x:v>108</x:v>
      </x:c>
      <x:c r="G44" s="491">
        <x:v>46321</x:v>
      </x:c>
      <x:c r="H44" s="491">
        <x:v>46339</x:v>
      </x:c>
      <x:c r="I44" s="492">
        <x:f t="shared" si="2"/>
        <x:v>19</x:v>
      </x:c>
      <x:c r="J44" s="494">
        <x:f t="shared" ca="1" si="3"/>
        <x:v>0</x:v>
      </x:c>
      <x:c r="K44" s="365"/>
      <x:c r="L44" s="451" t="n">
        <x:v>0.85</x:v>
      </x:c>
      <x:c r="M44" s="368" t="s">
        <x:v>58</x:v>
      </x:c>
      <x:c r="N44" s="368" t="s">
        <x:v>109</x:v>
      </x:c>
    </x:row>
    <x:row r="45" ht="38" customHeight="1">
      <x:c r="B45" s="464"/>
      <x:c r="C45" s="469" t="str">
        <x:v>AI·추천 서비스</x:v>
      </x:c>
      <x:c r="D45" s="400" t="str">
        <x:v>RAG 검색</x:v>
      </x:c>
      <x:c r="E45" s="387" t="s">
        <x:v>91</x:v>
      </x:c>
      <x:c r="F45" s="364" t="s">
        <x:v>110</x:v>
      </x:c>
      <x:c r="G45" s="491">
        <x:v>46307</x:v>
      </x:c>
      <x:c r="H45" s="491">
        <x:v>46332</x:v>
      </x:c>
      <x:c r="I45" s="492">
        <x:f t="shared" si="2"/>
        <x:v>26</x:v>
      </x:c>
      <x:c r="J45" s="494">
        <x:f t="shared" ca="1" si="3"/>
        <x:v>0</x:v>
      </x:c>
      <x:c r="K45" s="365"/>
      <x:c r="L45" s="451" t="n">
        <x:v>0.9</x:v>
      </x:c>
      <x:c r="M45" s="368" t="s">
        <x:v>111</x:v>
      </x:c>
      <x:c r="N45" s="368" t="s">
        <x:v>112</x:v>
      </x:c>
    </x:row>
    <x:row r="46" ht="38" customHeight="1">
      <x:c r="B46" s="464"/>
      <x:c r="C46" s="474"/>
      <x:c r="D46" s="400" t="str">
        <x:v>AI 식단 추천</x:v>
      </x:c>
      <x:c r="E46" s="387" t="s">
        <x:v>91</x:v>
      </x:c>
      <x:c r="F46" s="364" t="str">
        <x:v>건강정보 기반 식단 추천 및 주간 7일×4끼(28끼) 구조·한 끼 재추천; 실제 AI E2E 검증 필요</x:v>
      </x:c>
      <x:c r="G46" s="491">
        <x:v>46314</x:v>
      </x:c>
      <x:c r="H46" s="491">
        <x:v>46339</x:v>
      </x:c>
      <x:c r="I46" s="492">
        <x:f t="shared" si="2"/>
        <x:v>26</x:v>
      </x:c>
      <x:c r="J46" s="494">
        <x:f t="shared" ca="1" si="3"/>
        <x:v>0</x:v>
      </x:c>
      <x:c r="K46" s="365"/>
      <x:c r="L46" s="451" t="n">
        <x:v>0.7</x:v>
      </x:c>
      <x:c r="M46" s="368" t="s">
        <x:v>111</x:v>
      </x:c>
      <x:c r="N46" s="368" t="str">
        <x:v>식단 JSON·주간 28끼 로컬 계약(10/19), AI 실연동·배포 확인 필요</x:v>
      </x:c>
    </x:row>
    <x:row r="47" ht="38" customHeight="1">
      <x:c r="B47" s="464"/>
      <x:c r="C47" s="474"/>
      <x:c r="D47" s="400" t="str">
        <x:v>AI 건강 코칭</x:v>
      </x:c>
      <x:c r="E47" s="387" t="s">
        <x:v>91</x:v>
      </x:c>
      <x:c r="F47" s="364" t="s">
        <x:v>113</x:v>
      </x:c>
      <x:c r="G47" s="491">
        <x:v>46321</x:v>
      </x:c>
      <x:c r="H47" s="491">
        <x:v>46339</x:v>
      </x:c>
      <x:c r="I47" s="492">
        <x:f t="shared" si="2"/>
        <x:v>19</x:v>
      </x:c>
      <x:c r="J47" s="494">
        <x:f t="shared" ca="1" si="3"/>
        <x:v>0</x:v>
      </x:c>
      <x:c r="K47" s="365"/>
      <x:c r="L47" s="451" t="n">
        <x:v>0.7</x:v>
      </x:c>
      <x:c r="M47" s="368" t="s">
        <x:v>111</x:v>
      </x:c>
      <x:c r="N47" s="368" t="s">
        <x:v>114</x:v>
      </x:c>
    </x:row>
    <x:row r="48" ht="38" customHeight="1">
      <x:c r="B48" s="464"/>
      <x:c r="C48" s="474"/>
      <x:c r="D48" s="400" t="str">
        <x:v>AI 추천 API 연동</x:v>
      </x:c>
      <x:c r="E48" s="387" t="s">
        <x:v>91</x:v>
      </x:c>
      <x:c r="F48" s="364" t="str">
        <x:v>AI 서버↔Backend 건강분석·식단 추천 API 연동 및 오류·타임아웃 검증; 10/19 로컬 계약과 운영 서버 구분</x:v>
      </x:c>
      <x:c r="G48" s="491">
        <x:v>46328</x:v>
      </x:c>
      <x:c r="H48" s="491">
        <x:v>46339</x:v>
      </x:c>
      <x:c r="I48" s="492">
        <x:f t="shared" si="2"/>
        <x:v>12</x:v>
      </x:c>
      <x:c r="J48" s="494">
        <x:f t="shared" ca="1" si="3"/>
        <x:v>0</x:v>
      </x:c>
      <x:c r="K48" s="365"/>
      <x:c r="L48" s="451" t="n">
        <x:v>0.55</x:v>
      </x:c>
      <x:c r="M48" s="368" t="s">
        <x:v>115</x:v>
      </x:c>
      <x:c r="N48" s="368" t="s">
        <x:v>116</x:v>
      </x:c>
    </x:row>
    <x:row r="49" ht="38" customHeight="1">
      <x:c r="B49" s="464"/>
      <x:c r="C49" s="474"/>
      <x:c r="D49" s="400" t="str">
        <x:v>AI 러닝 코스 API</x:v>
      </x:c>
      <x:c r="E49" s="387" t="str">
        <x:v>구현</x:v>
      </x:c>
      <x:c r="F49" s="364" t="str">
        <x:v>3/5/10km/custom 코스 검색·추천·순환 경로 생성; AI↔Backend 연동 검증</x:v>
      </x:c>
      <x:c r="G49" s="491" t="n">
        <x:v>46317</x:v>
      </x:c>
      <x:c r="H49" s="491" t="n">
        <x:v>46365</x:v>
      </x:c>
      <x:c r="I49" s="492" t="n">
        <x:f t="shared" si="2">H49-G49+1</x:f>
        <x:v>49</x:v>
      </x:c>
      <x:c r="J49" s="494" t="n">
        <x:f t="shared" ca="1" si="3">IF(TODAY()&lt;G49,0,IF(TODAY()&gt;H49,1,(TODAY()-G49+1)/I49))</x:f>
        <x:v>0.020408171296296296</x:v>
      </x:c>
      <x:c r="K49" s="365"/>
      <x:c r="L49" s="451" t="n">
        <x:v>0.6</x:v>
      </x:c>
      <x:c r="M49" s="368" t="str">
        <x:v>이병희·김현호</x:v>
      </x:c>
      <x:c r="N49" s="368" t="str">
        <x:v>러닝 E2E 계약 v1.0·통합 시험 결과 | 완료율: 문서·개발 로그 기반 추정, 담당자 확인 필요</x:v>
      </x:c>
    </x:row>
    <x:row r="50" ht="38" customHeight="1">
      <x:c r="B50" s="464"/>
      <x:c r="C50" s="469" t="str">
        <x:v>프론트엔드</x:v>
      </x:c>
      <x:c r="D50" s="400" t="str">
        <x:v>회원·마이페이지 UI</x:v>
      </x:c>
      <x:c r="E50" s="387" t="s">
        <x:v>91</x:v>
      </x:c>
      <x:c r="F50" s="364" t="s">
        <x:v>117</x:v>
      </x:c>
      <x:c r="G50" s="491">
        <x:v>46300</x:v>
      </x:c>
      <x:c r="H50" s="491">
        <x:v>46318</x:v>
      </x:c>
      <x:c r="I50" s="492">
        <x:f t="shared" si="2"/>
        <x:v>19</x:v>
      </x:c>
      <x:c r="J50" s="494">
        <x:f t="shared" ca="1" si="3"/>
        <x:v>0</x:v>
      </x:c>
      <x:c r="K50" s="365"/>
      <x:c r="L50" s="451" t="n">
        <x:v>0.8</x:v>
      </x:c>
      <x:c r="M50" s="368" t="s">
        <x:v>7</x:v>
      </x:c>
      <x:c r="N50" s="368" t="s">
        <x:v>118</x:v>
      </x:c>
    </x:row>
    <x:row r="51" ht="38" customHeight="1">
      <x:c r="B51" s="464"/>
      <x:c r="C51" s="474"/>
      <x:c r="D51" s="400" t="str">
        <x:v>건강 데이터 UI</x:v>
      </x:c>
      <x:c r="E51" s="387" t="s">
        <x:v>91</x:v>
      </x:c>
      <x:c r="F51" s="364" t="s">
        <x:v>119</x:v>
      </x:c>
      <x:c r="G51" s="491">
        <x:v>46307</x:v>
      </x:c>
      <x:c r="H51" s="491">
        <x:v>46325</x:v>
      </x:c>
      <x:c r="I51" s="492">
        <x:f t="shared" si="2"/>
        <x:v>19</x:v>
      </x:c>
      <x:c r="J51" s="494">
        <x:f t="shared" ca="1" si="3"/>
        <x:v>0</x:v>
      </x:c>
      <x:c r="K51" s="365"/>
      <x:c r="L51" s="451" t="n">
        <x:v>0.85</x:v>
      </x:c>
      <x:c r="M51" s="368" t="s">
        <x:v>7</x:v>
      </x:c>
      <x:c r="N51" s="368" t="s">
        <x:v>120</x:v>
      </x:c>
    </x:row>
    <x:row r="52" ht="38" customHeight="1">
      <x:c r="B52" s="464"/>
      <x:c r="C52" s="474"/>
      <x:c r="D52" s="400" t="str">
        <x:v>건강 분석 시각화</x:v>
      </x:c>
      <x:c r="E52" s="387" t="s">
        <x:v>91</x:v>
      </x:c>
      <x:c r="F52" s="364" t="s">
        <x:v>121</x:v>
      </x:c>
      <x:c r="G52" s="491">
        <x:v>46314</x:v>
      </x:c>
      <x:c r="H52" s="491">
        <x:v>46332</x:v>
      </x:c>
      <x:c r="I52" s="492">
        <x:f t="shared" si="2"/>
        <x:v>19</x:v>
      </x:c>
      <x:c r="J52" s="494">
        <x:f t="shared" ca="1" si="3"/>
        <x:v>0</x:v>
      </x:c>
      <x:c r="K52" s="365"/>
      <x:c r="L52" s="451" t="n">
        <x:v>0.85</x:v>
      </x:c>
      <x:c r="M52" s="368" t="s">
        <x:v>7</x:v>
      </x:c>
      <x:c r="N52" s="368" t="s">
        <x:v>122</x:v>
      </x:c>
    </x:row>
    <x:row r="53" ht="38" customHeight="1">
      <x:c r="B53" s="464"/>
      <x:c r="C53" s="474"/>
      <x:c r="D53" s="400" t="str">
        <x:v>추천·코칭 UI</x:v>
      </x:c>
      <x:c r="E53" s="387" t="s">
        <x:v>91</x:v>
      </x:c>
      <x:c r="F53" s="364" t="str">
        <x:v>운동·식단·푸드샷·러닝 추천 및 기록 화면 연결; Figma 존재와 실제 구현 분리 검증</x:v>
      </x:c>
      <x:c r="G53" s="491">
        <x:v>46321</x:v>
      </x:c>
      <x:c r="H53" s="491">
        <x:v>46339</x:v>
      </x:c>
      <x:c r="I53" s="492">
        <x:f t="shared" si="2"/>
        <x:v>19</x:v>
      </x:c>
      <x:c r="J53" s="494">
        <x:f t="shared" ca="1" si="3"/>
        <x:v>0</x:v>
      </x:c>
      <x:c r="K53" s="365"/>
      <x:c r="L53" s="451" t="n">
        <x:v>0.75</x:v>
      </x:c>
      <x:c r="M53" s="368" t="s">
        <x:v>7</x:v>
      </x:c>
      <x:c r="N53" s="368" t="s">
        <x:v>123</x:v>
      </x:c>
    </x:row>
    <x:row r="54" ht="38" customHeight="1">
      <x:c r="B54" s="464"/>
      <x:c r="C54" s="474"/>
      <x:c r="D54" s="400" t="str">
        <x:v>커뮤니티·클럽 UI</x:v>
      </x:c>
      <x:c r="E54" s="387" t="str">
        <x:v>구현</x:v>
      </x:c>
      <x:c r="F54" s="364" t="str">
        <x:v>커뮤니티 피드·게시·신고 및 클럽 UI를 실제 API와 연결; 정책 미확정 항목 구분</x:v>
      </x:c>
      <x:c r="G54" s="491" t="n">
        <x:v>46317</x:v>
      </x:c>
      <x:c r="H54" s="491" t="n">
        <x:v>46365</x:v>
      </x:c>
      <x:c r="I54" s="492" t="n">
        <x:f t="shared" si="2">H54-G54+1</x:f>
        <x:v>49</x:v>
      </x:c>
      <x:c r="J54" s="494" t="n">
        <x:f t="shared" ca="1" si="3">IF(TODAY()&lt;G54,0,IF(TODAY()&gt;H54,1,(TODAY()-G54+1)/I54))</x:f>
        <x:v>0.020408171296296296</x:v>
      </x:c>
      <x:c r="K54" s="365"/>
      <x:c r="L54" s="451" t="n">
        <x:v>0.45</x:v>
      </x:c>
      <x:c r="M54" s="368" t="str">
        <x:v>이가희·김현호</x:v>
      </x:c>
      <x:c r="N54" s="368" t="str">
        <x:v>커뮤니티·클럽 화면 및 E2E 결과 | 완료율: 문서·개발 로그 기반 추정, 담당자 확인 필요</x:v>
      </x:c>
    </x:row>
    <x:row r="55" ht="38" customHeight="1">
      <x:c r="B55" s="464"/>
      <x:c r="C55" s="474"/>
      <x:c r="D55" s="400" t="str">
        <x:v>러닝·리포트 UI</x:v>
      </x:c>
      <x:c r="E55" s="387" t="str">
        <x:v>구현</x:v>
      </x:c>
      <x:c r="F55" s="364" t="str">
        <x:v>러닝 추천·수행·기록, 주간·월간 리포트 화면 데이터 연결·상태 검증</x:v>
      </x:c>
      <x:c r="G55" s="491" t="n">
        <x:v>46317</x:v>
      </x:c>
      <x:c r="H55" s="491" t="n">
        <x:v>46365</x:v>
      </x:c>
      <x:c r="I55" s="492" t="n">
        <x:f t="shared" si="2">H55-G55+1</x:f>
        <x:v>49</x:v>
      </x:c>
      <x:c r="J55" s="494" t="n">
        <x:f t="shared" ca="1" si="3">IF(TODAY()&lt;G55,0,IF(TODAY()&gt;H55,1,(TODAY()-G55+1)/I55))</x:f>
        <x:v>0.020408171296296296</x:v>
      </x:c>
      <x:c r="K55" s="365"/>
      <x:c r="L55" s="451" t="n">
        <x:v>0.4</x:v>
      </x:c>
      <x:c r="M55" s="368" t="str">
        <x:v>이가희·이병희</x:v>
      </x:c>
      <x:c r="N55" s="368" t="str">
        <x:v>러닝·리포트 연동 화면·테스트 | 완료율: 문서·개발 로그 기반 추정, 담당자 확인 필요</x:v>
      </x:c>
    </x:row>
    <x:row r="56" ht="38" customHeight="1">
      <x:c r="B56" s="464"/>
      <x:c r="C56" s="474"/>
      <x:c r="D56" s="400" t="str">
        <x:v>홈·이력 대시보드</x:v>
      </x:c>
      <x:c r="E56" s="387" t="s">
        <x:v>91</x:v>
      </x:c>
      <x:c r="F56" s="364" t="str">
        <x:v>홈·리포트·추천 이력·커뮤니티 진입 UI와 상태 복원 연동 점검</x:v>
      </x:c>
      <x:c r="G56" s="491">
        <x:v>46328</x:v>
      </x:c>
      <x:c r="H56" s="491">
        <x:v>46339</x:v>
      </x:c>
      <x:c r="I56" s="492">
        <x:f t="shared" si="2"/>
        <x:v>12</x:v>
      </x:c>
      <x:c r="J56" s="494">
        <x:f t="shared" ca="1" si="3"/>
        <x:v>0</x:v>
      </x:c>
      <x:c r="K56" s="365"/>
      <x:c r="L56" s="451" t="n">
        <x:v>0.7</x:v>
      </x:c>
      <x:c r="M56" s="368" t="s">
        <x:v>124</x:v>
      </x:c>
      <x:c r="N56" s="368" t="s">
        <x:v>125</x:v>
      </x:c>
    </x:row>
    <x:row r="57" ht="38" customHeight="1">
      <x:c r="B57" s="463" t="str">
        <x:v>통합 및 검증</x:v>
      </x:c>
      <x:c r="C57" s="469" t="str">
        <x:v>통합·품질 검증</x:v>
      </x:c>
      <x:c r="D57" s="400" t="str">
        <x:v>서비스 기능 통합</x:v>
      </x:c>
      <x:c r="E57" s="390" t="s">
        <x:v>126</x:v>
      </x:c>
      <x:c r="F57" s="364" t="str">
        <x:v>Frontend·Backend·OCR·건강분석·식단·운동·러닝·커뮤니티 통합</x:v>
      </x:c>
      <x:c r="G57" s="491">
        <x:v>46335</x:v>
      </x:c>
      <x:c r="H57" s="491">
        <x:v>46346</x:v>
      </x:c>
      <x:c r="I57" s="492">
        <x:f t="shared" si="2"/>
        <x:v>12</x:v>
      </x:c>
      <x:c r="J57" s="494">
        <x:f t="shared" ca="1" si="3"/>
        <x:v>0</x:v>
      </x:c>
      <x:c r="K57" s="365"/>
      <x:c r="L57" s="451" t="n">
        <x:v>0.45</x:v>
      </x:c>
      <x:c r="M57" s="368" t="s">
        <x:v>31</x:v>
      </x:c>
      <x:c r="N57" s="368" t="s">
        <x:v>127</x:v>
      </x:c>
    </x:row>
    <x:row r="58" ht="38" customHeight="1">
      <x:c r="B58" s="464"/>
      <x:c r="C58" s="477"/>
      <x:c r="D58" s="400" t="str">
        <x:v>핵심 사용자 흐름 검증</x:v>
      </x:c>
      <x:c r="E58" s="390" t="s">
        <x:v>126</x:v>
      </x:c>
      <x:c r="F58" s="364" t="str">
        <x:v>건강문서 업로드→분석→주간 식단·운동 추천→기록·리포트 및 러닝·커뮤니티 E2E</x:v>
      </x:c>
      <x:c r="G58" s="491">
        <x:v>46342</x:v>
      </x:c>
      <x:c r="H58" s="491">
        <x:v>46353</x:v>
      </x:c>
      <x:c r="I58" s="492">
        <x:f t="shared" si="2"/>
        <x:v>12</x:v>
      </x:c>
      <x:c r="J58" s="494">
        <x:f t="shared" ca="1" si="3"/>
        <x:v>0</x:v>
      </x:c>
      <x:c r="K58" s="365"/>
      <x:c r="L58" s="451" t="n">
        <x:v>0.3</x:v>
      </x:c>
      <x:c r="M58" s="368" t="s">
        <x:v>31</x:v>
      </x:c>
      <x:c r="N58" s="368" t="s">
        <x:v>128</x:v>
      </x:c>
    </x:row>
    <x:row r="59" ht="38" customHeight="1">
      <x:c r="B59" s="464"/>
      <x:c r="C59" s="477"/>
      <x:c r="D59" s="400" t="str">
        <x:v>OCR 정확도 검증</x:v>
      </x:c>
      <x:c r="E59" s="390" t="s">
        <x:v>126</x:v>
      </x:c>
      <x:c r="F59" s="364" t="s">
        <x:v>129</x:v>
      </x:c>
      <x:c r="G59" s="491">
        <x:v>46335</x:v>
      </x:c>
      <x:c r="H59" s="491">
        <x:v>46346</x:v>
      </x:c>
      <x:c r="I59" s="492">
        <x:f t="shared" si="2"/>
        <x:v>12</x:v>
      </x:c>
      <x:c r="J59" s="494">
        <x:f t="shared" ca="1" si="3"/>
        <x:v>0</x:v>
      </x:c>
      <x:c r="K59" s="365"/>
      <x:c r="L59" s="451" t="n">
        <x:v>0.8</x:v>
      </x:c>
      <x:c r="M59" s="368" t="s">
        <x:v>130</x:v>
      </x:c>
      <x:c r="N59" s="368" t="s">
        <x:v>131</x:v>
      </x:c>
    </x:row>
    <x:row r="60" ht="38" customHeight="1">
      <x:c r="B60" s="464"/>
      <x:c r="C60" s="477"/>
      <x:c r="D60" s="400" t="str">
        <x:v>AI 예외 처리 검증</x:v>
      </x:c>
      <x:c r="E60" s="390" t="s">
        <x:v>126</x:v>
      </x:c>
      <x:c r="F60" s="364" t="str">
        <x:v>AI 분석·식단 28끼·한 끼 교체·러닝 경로 실패·입력 누락·예외·근거 정보 검증</x:v>
      </x:c>
      <x:c r="G60" s="491">
        <x:v>46342</x:v>
      </x:c>
      <x:c r="H60" s="491">
        <x:v>46353</x:v>
      </x:c>
      <x:c r="I60" s="492">
        <x:f t="shared" si="2"/>
        <x:v>12</x:v>
      </x:c>
      <x:c r="J60" s="494">
        <x:f t="shared" ca="1" si="3"/>
        <x:v>0</x:v>
      </x:c>
      <x:c r="K60" s="365"/>
      <x:c r="L60" s="451" t="n">
        <x:v>0.35</x:v>
      </x:c>
      <x:c r="M60" s="368" t="s">
        <x:v>132</x:v>
      </x:c>
      <x:c r="N60" s="368" t="s">
        <x:v>133</x:v>
      </x:c>
    </x:row>
    <x:row r="61" ht="38" customHeight="1">
      <x:c r="B61" s="464"/>
      <x:c r="C61" s="477"/>
      <x:c r="D61" s="400" t="str">
        <x:v>응답 성능 검증</x:v>
      </x:c>
      <x:c r="E61" s="390" t="s">
        <x:v>126</x:v>
      </x:c>
      <x:c r="F61" s="364" t="str">
        <x:v>API·OCR·AI 응답시간 실측; 기존 3/5/10초 목표와 AI 호출 타임아웃 계약 차이 확인</x:v>
      </x:c>
      <x:c r="G61" s="491">
        <x:v>46342</x:v>
      </x:c>
      <x:c r="H61" s="491">
        <x:v>46353</x:v>
      </x:c>
      <x:c r="I61" s="492" t="n">
        <x:f t="shared" si="2"/>
        <x:v>12</x:v>
      </x:c>
      <x:c r="J61" s="494" t="n">
        <x:f t="shared" ca="1" si="3"/>
        <x:v>0</x:v>
      </x:c>
      <x:c r="K61" s="365"/>
      <x:c r="L61" s="451" t="n">
        <x:v>0.25</x:v>
      </x:c>
      <x:c r="M61" s="368" t="s">
        <x:v>134</x:v>
      </x:c>
      <x:c r="N61" s="368" t="s">
        <x:v>135</x:v>
      </x:c>
    </x:row>
    <x:row r="62" ht="38" customHeight="1">
      <x:c r="B62" s="465"/>
      <x:c r="C62" s="478"/>
      <x:c r="D62" s="401" t="str">
        <x:v>UI·UX 개선</x:v>
      </x:c>
      <x:c r="E62" s="402" t="s">
        <x:v>126</x:v>
      </x:c>
      <x:c r="F62" s="362" t="s">
        <x:v>136</x:v>
      </x:c>
      <x:c r="G62" s="495">
        <x:v>46349</x:v>
      </x:c>
      <x:c r="H62" s="495">
        <x:v>46353</x:v>
      </x:c>
      <x:c r="I62" s="496" t="n">
        <x:v>5</x:v>
      </x:c>
      <x:c r="J62" s="497" t="n">
        <x:v>0</x:v>
      </x:c>
      <x:c r="K62" s="362"/>
      <x:c r="L62" s="452" t="n">
        <x:v>0.4</x:v>
      </x:c>
      <x:c r="M62" s="362" t="s">
        <x:v>137</x:v>
      </x:c>
      <x:c r="N62" s="362" t="s">
        <x:v>138</x:v>
      </x:c>
    </x:row>
    <x:row r="63" ht="38" customHeight="1">
      <x:c r="B63" s="465"/>
      <x:c r="C63" s="478"/>
      <x:c r="D63" s="401" t="str">
        <x:v>개인정보·탈퇴 검증</x:v>
      </x:c>
      <x:c r="E63" s="402" t="str">
        <x:v>테스트</x:v>
      </x:c>
      <x:c r="F63" s="362" t="str">
        <x:v>건강문서 삭제·회원 탈퇴·커뮤니티 데이터 정리·본인 데이터 접근 제어 검증</x:v>
      </x:c>
      <x:c r="G63" s="495" t="n">
        <x:v>46317</x:v>
      </x:c>
      <x:c r="H63" s="495" t="n">
        <x:v>46365</x:v>
      </x:c>
      <x:c r="I63" s="496" t="n">
        <x:f>H63-G63+1</x:f>
        <x:v>49</x:v>
      </x:c>
      <x:c r="J63" s="497" t="n">
        <x:f>IF(TODAY()&lt;G63,0,IF(TODAY()&gt;H63,1,(TODAY()-G63+1)/I63))</x:f>
        <x:v>0.020408171296296296</x:v>
      </x:c>
      <x:c r="K63" s="362"/>
      <x:c r="L63" s="452" t="n">
        <x:v>0.7</x:v>
      </x:c>
      <x:c r="M63" s="362" t="str">
        <x:v>김현호·정수빈</x:v>
      </x:c>
      <x:c r="N63" s="362" t="str">
        <x:v>삭제·접근 제어·탈퇴 통합 테스트 | 완료율: 문서·개발 로그 기반 추정, 담당자 확인 필요</x:v>
      </x:c>
    </x:row>
    <x:row r="64" ht="38" customHeight="1">
      <x:c r="B64" s="465"/>
      <x:c r="C64" s="478"/>
      <x:c r="D64" s="401" t="str">
        <x:v>목표 지표 실측</x:v>
      </x:c>
      <x:c r="E64" s="402" t="str">
        <x:v>테스트</x:v>
      </x:c>
      <x:c r="F64" s="362" t="str">
        <x:v>OCR·푸드샷 90%, 추천 적합성 80%, RAGAS 0.85 목표와 실제 측정값 분리 보고</x:v>
      </x:c>
      <x:c r="G64" s="495" t="n">
        <x:v>46317</x:v>
      </x:c>
      <x:c r="H64" s="495" t="n">
        <x:v>46365</x:v>
      </x:c>
      <x:c r="I64" s="496" t="n">
        <x:f>H64-G64+1</x:f>
        <x:v>49</x:v>
      </x:c>
      <x:c r="J64" s="497" t="n">
        <x:f>IF(TODAY()&lt;G64,0,IF(TODAY()&gt;H64,1,(TODAY()-G64+1)/I64))</x:f>
        <x:v>0.020408171296296296</x:v>
      </x:c>
      <x:c r="K64" s="362"/>
      <x:c r="L64" s="452" t="n">
        <x:v>0.2</x:v>
      </x:c>
      <x:c r="M64" s="362" t="str">
        <x:v>이승현·이병희·정수빈</x:v>
      </x:c>
      <x:c r="N64" s="362" t="str">
        <x:v>평가 데이터·측정 결과·미달 항목 | 완료율: 문서·개발 로그 기반 추정, 담당자 확인 필요</x:v>
      </x:c>
    </x:row>
    <x:row r="65" ht="38" customHeight="1">
      <x:c r="B65" s="467" t="str">
        <x:v>최종 완성</x:v>
      </x:c>
      <x:c r="C65" s="481" t="str">
        <x:v>안정화·발표 준비</x:v>
      </x:c>
      <x:c r="D65" s="401" t="str">
        <x:v>서비스 안정화</x:v>
      </x:c>
      <x:c r="E65" s="402" t="s">
        <x:v>126</x:v>
      </x:c>
      <x:c r="F65" s="362" t="s">
        <x:v>139</x:v>
      </x:c>
      <x:c r="G65" s="495" t="n">
        <x:v>46349</x:v>
      </x:c>
      <x:c r="H65" s="495" t="n">
        <x:v>46365</x:v>
      </x:c>
      <x:c r="I65" s="496" t="n">
        <x:f>H65-G65+1</x:f>
        <x:v>17</x:v>
      </x:c>
      <x:c r="J65" s="497" t="n">
        <x:f>IF(TODAY()&lt;G65,0,IF(TODAY()&gt;H65,1,(TODAY()-G65+1)/I65))</x:f>
        <x:v>0</x:v>
      </x:c>
      <x:c r="K65" s="362"/>
      <x:c r="L65" s="452" t="n">
        <x:v>0.1</x:v>
      </x:c>
      <x:c r="M65" s="362" t="s">
        <x:v>31</x:v>
      </x:c>
      <x:c r="N65" s="362" t="s">
        <x:v>140</x:v>
      </x:c>
    </x:row>
    <x:row r="66" ht="38" customHeight="1">
      <x:c r="B66" s="465"/>
      <x:c r="C66" s="482"/>
      <x:c r="D66" s="401" t="str">
        <x:v>시연 시나리오 작성</x:v>
      </x:c>
      <x:c r="E66" s="403" t="str">
        <x:v>기획</x:v>
      </x:c>
      <x:c r="F66" s="362" t="s">
        <x:v>141</x:v>
      </x:c>
      <x:c r="G66" s="495" t="n">
        <x:v>46349</x:v>
      </x:c>
      <x:c r="H66" s="495" t="n">
        <x:v>46365</x:v>
      </x:c>
      <x:c r="I66" s="496" t="n">
        <x:f>H66-G66+1</x:f>
        <x:v>17</x:v>
      </x:c>
      <x:c r="J66" s="497" t="n">
        <x:f>IF(TODAY()&lt;G66,0,IF(TODAY()&gt;H66,1,(TODAY()-G66+1)/I66))</x:f>
        <x:v>0</x:v>
      </x:c>
      <x:c r="K66" s="362"/>
      <x:c r="L66" s="452" t="n">
        <x:v>0.15</x:v>
      </x:c>
      <x:c r="M66" s="362" t="s">
        <x:v>142</x:v>
      </x:c>
      <x:c r="N66" s="362" t="s">
        <x:v>143</x:v>
      </x:c>
    </x:row>
    <x:row r="67" ht="38" customHeight="1">
      <x:c r="B67" s="465"/>
      <x:c r="C67" s="482"/>
      <x:c r="D67" s="401" t="str">
        <x:v>최종 산출물 정리</x:v>
      </x:c>
      <x:c r="E67" s="404" t="str">
        <x:v>문서화</x:v>
      </x:c>
      <x:c r="F67" s="362" t="s">
        <x:v>144</x:v>
      </x:c>
      <x:c r="G67" s="495" t="n">
        <x:v>46349</x:v>
      </x:c>
      <x:c r="H67" s="495" t="n">
        <x:v>46366</x:v>
      </x:c>
      <x:c r="I67" s="496" t="n">
        <x:f>H67-G67+1</x:f>
        <x:v>18</x:v>
      </x:c>
      <x:c r="J67" s="497" t="n">
        <x:f>IF(TODAY()&lt;G67,0,IF(TODAY()&gt;H67,1,(TODAY()-G67+1)/I67))</x:f>
        <x:v>0</x:v>
      </x:c>
      <x:c r="K67" s="362"/>
      <x:c r="L67" s="452" t="n">
        <x:v>0.25</x:v>
      </x:c>
      <x:c r="M67" s="362" t="s">
        <x:v>145</x:v>
      </x:c>
      <x:c r="N67" s="362" t="s">
        <x:v>146</x:v>
      </x:c>
    </x:row>
    <x:row r="68" ht="38" customHeight="1">
      <x:c r="B68" s="465"/>
      <x:c r="C68" s="482"/>
      <x:c r="D68" s="401" t="str">
        <x:v>최종 발표자료 제작</x:v>
      </x:c>
      <x:c r="E68" s="404" t="str">
        <x:v>문서화</x:v>
      </x:c>
      <x:c r="F68" s="362" t="s">
        <x:v>147</x:v>
      </x:c>
      <x:c r="G68" s="495" t="n">
        <x:v>46363</x:v>
      </x:c>
      <x:c r="H68" s="495" t="n">
        <x:v>46366</x:v>
      </x:c>
      <x:c r="I68" s="496" t="n">
        <x:f>H68-G68+1</x:f>
        <x:v>4</x:v>
      </x:c>
      <x:c r="J68" s="497" t="n">
        <x:f>IF(TODAY()&lt;G68,0,IF(TODAY()&gt;H68,1,(TODAY()-G68+1)/I68))</x:f>
        <x:v>0</x:v>
      </x:c>
      <x:c r="K68" s="362"/>
      <x:c r="L68" s="452" t="n">
        <x:v>0.1</x:v>
      </x:c>
      <x:c r="M68" s="362" t="s">
        <x:v>65</x:v>
      </x:c>
      <x:c r="N68" s="362" t="s">
        <x:v>148</x:v>
      </x:c>
    </x:row>
    <x:row r="69" ht="38" customHeight="1">
      <x:c r="B69" s="465"/>
      <x:c r="C69" s="482"/>
      <x:c r="D69" s="401" t="str">
        <x:v>최종 발표·시연</x:v>
      </x:c>
      <x:c r="E69" s="405" t="str">
        <x:v>발표</x:v>
      </x:c>
      <x:c r="F69" s="362" t="str">
        <x:v>Auto-Fit 최종 발표 및 서비스 시연</x:v>
      </x:c>
      <x:c r="G69" s="495" t="n">
        <x:v>46367</x:v>
      </x:c>
      <x:c r="H69" s="495" t="n">
        <x:v>46367</x:v>
      </x:c>
      <x:c r="I69" s="496" t="n">
        <x:f>H69-G69+1</x:f>
        <x:v>1</x:v>
      </x:c>
      <x:c r="J69" s="497" t="n">
        <x:f>IF(TODAY()&lt;G69,0,IF(TODAY()&gt;H69,1,(TODAY()-G69+1)/I69))</x:f>
        <x:v>0</x:v>
      </x:c>
      <x:c r="K69" s="362"/>
      <x:c r="L69" s="452" t="n">
        <x:v>0</x:v>
      </x:c>
      <x:c r="M69" s="362" t="str">
        <x:v>팀원 전체</x:v>
      </x:c>
      <x:c r="N69" s="362" t="str">
        <x:v>최종 발표·시연</x:v>
      </x:c>
    </x:row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</x:row>
    <x:row r="118" ht="15.75" customHeight="1"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</x:row>
    <x:row r="119" ht="15.75" customHeight="1"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</x:row>
    <x:row r="120" ht="15.75" customHeight="1"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</x:row>
    <x:row r="121" ht="15.75" customHeight="1"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</x:row>
    <x:row r="122" ht="15.75" customHeight="1"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</x:row>
    <x:row r="123" ht="15.75" customHeight="1"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</x:row>
    <x:row r="124" ht="15.75" customHeight="1"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</x:row>
    <x:row r="125" ht="15.75" customHeight="1"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</x:row>
    <x:row r="126" ht="15.75" customHeight="1"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</x:row>
    <x:row r="127" ht="15.75" customHeight="1"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</x:row>
    <x:row r="128" ht="15.75" customHeight="1"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</x:row>
    <x:row r="129" ht="15.75" customHeight="1"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</x:row>
    <x:row r="130" ht="15.75" customHeight="1"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</x:row>
    <x:row r="131" ht="15.75" customHeight="1"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</x:row>
    <x:row r="132" ht="15.75" customHeight="1"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</x:row>
    <x:row r="133" ht="15.75" customHeight="1"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</x:row>
    <x:row r="134" ht="15.75" customHeight="1"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</x:row>
    <x:row r="135" ht="15.75" customHeight="1"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</x:row>
    <x:row r="136" ht="15.75" customHeight="1"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</x:row>
    <x:row r="137" ht="15.75" customHeight="1"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</x:row>
    <x:row r="138" ht="15.75" customHeight="1"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</x:row>
    <x:row r="139" ht="15.75" customHeight="1"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</x:row>
    <x:row r="140" ht="15.75" customHeight="1"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</x:row>
    <x:row r="141" ht="15.75" customHeight="1"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</x:row>
    <x:row r="142" ht="15.75" customHeight="1"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</x:row>
    <x:row r="143" ht="15.75" customHeight="1"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</x:row>
    <x:row r="144" ht="15.75" customHeight="1"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</x:row>
    <x:row r="145" ht="15.75" customHeight="1"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</x:row>
    <x:row r="146" ht="15.75" customHeight="1"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</x:row>
    <x:row r="147" ht="15.75" customHeight="1"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</x:row>
    <x:row r="148" ht="15.75" customHeight="1"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</x:row>
    <x:row r="149" ht="15.75" customHeight="1"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</x:row>
    <x:row r="150" ht="15.75" customHeight="1"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</x:row>
    <x:row r="151" ht="15.75" customHeight="1"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</x:row>
    <x:row r="152" ht="15.75" customHeight="1"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</x:row>
    <x:row r="153" ht="15.75" customHeight="1"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</x:row>
    <x:row r="154" ht="15.75" customHeight="1"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</x:row>
    <x:row r="155" ht="15.75" customHeight="1"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</x:row>
    <x:row r="156" ht="15.75" customHeight="1"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</x:row>
    <x:row r="157" ht="15.75" customHeight="1"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</x:row>
    <x:row r="158" ht="15.75" customHeight="1"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</x:row>
    <x:row r="159" ht="15.75" customHeight="1"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</x:row>
    <x:row r="160" ht="15.75" customHeight="1"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</x:row>
    <x:row r="161" ht="15.75" customHeight="1"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</x:row>
    <x:row r="162" ht="15.75" customHeight="1"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</x:row>
    <x:row r="163" ht="15.75" customHeight="1"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</x:row>
    <x:row r="164" ht="15.75" customHeight="1"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</x:row>
    <x:row r="165" ht="15.75" customHeight="1"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</x:row>
    <x:row r="166" ht="15.75" customHeight="1"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</x:row>
    <x:row r="167" ht="15.75" customHeight="1"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</x:row>
    <x:row r="168" ht="15.75" customHeight="1"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</x:row>
    <x:row r="169" ht="15.75" customHeight="1"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</x:row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B2:N2"/>
    <x:mergeCell ref="B3:N3"/>
    <x:mergeCell ref="B4:C4"/>
    <x:mergeCell ref="D4:H4"/>
    <x:mergeCell ref="K4:M4"/>
    <x:mergeCell ref="B5:C5"/>
    <x:mergeCell ref="D5:E5"/>
    <x:mergeCell ref="F5:H5"/>
    <x:mergeCell ref="I5:J5"/>
    <x:mergeCell ref="K5:M5"/>
    <x:mergeCell ref="B7:B8"/>
    <x:mergeCell ref="C7:C8"/>
    <x:mergeCell ref="B9:B16"/>
    <x:mergeCell ref="C9:C10"/>
    <x:mergeCell ref="C11:C12"/>
    <x:mergeCell ref="C13:C14"/>
    <x:mergeCell ref="C15:C16"/>
    <x:mergeCell ref="B17:B27"/>
    <x:mergeCell ref="B28:B32"/>
    <x:mergeCell ref="B33:B56"/>
    <x:mergeCell ref="B57:B64"/>
    <x:mergeCell ref="B65:B69"/>
    <x:mergeCell ref="C17:C22"/>
    <x:mergeCell ref="C23:C27"/>
    <x:mergeCell ref="C28:C32"/>
    <x:mergeCell ref="C33:C39"/>
    <x:mergeCell ref="C40:C44"/>
    <x:mergeCell ref="C45:C49"/>
    <x:mergeCell ref="C50:C56"/>
    <x:mergeCell ref="C57:C64"/>
    <x:mergeCell ref="C65:C69"/>
  </x:mergeCells>
  <x:conditionalFormatting sqref="J9:J61">
    <x:cfRule type="expression" dxfId="0" priority="1">
      <x:formula>J9&gt;1</x:formula>
    </x:cfRule>
  </x:conditionalFormatting>
  <x:pageMargins left="0.7" right="0.7" top="0.75" bottom="0.75" header="0.3" footer="0.3"/>
  <x:drawing xmlns:r="http://schemas.openxmlformats.org/officeDocument/2006/relationships" r:id="R96accf3820f14e78"/>
  <x:legacyDrawing xmlns:r="http://schemas.openxmlformats.org/officeDocument/2006/relationships" r:id="R36849cd4fb0a428b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12.59765625" defaultRowHeight="13.800000190734863"/>
  <x:cols>
    <x:col min="1" max="1" width="13" customWidth="1"/>
    <x:col min="2" max="2" width="8" customWidth="1"/>
    <x:col min="3" max="3" width="12" customWidth="1"/>
    <x:col min="4" max="4" width="13" customWidth="1"/>
    <x:col min="5" max="5" width="12" customWidth="1"/>
    <x:col min="6" max="6" width="20" customWidth="1"/>
    <x:col min="7" max="7" width="60" customWidth="1"/>
    <x:col min="8" max="26" width="8.59765625" customWidth="1"/>
  </x:cols>
  <x:sheetData>
    <x:row r="1">
      <x:c r="A1" s="55" t="s">
        <x:v>149</x:v>
      </x:c>
      <x:c r="B1" s="56"/>
      <x:c r="C1" s="56"/>
      <x:c r="D1" s="56"/>
      <x:c r="E1" s="56"/>
      <x:c r="F1" s="56"/>
      <x:c r="G1" s="56"/>
    </x:row>
    <x:row r="2">
      <x:c r="A2" s="57" t="s">
        <x:v>150</x:v>
      </x:c>
      <x:c r="B2" s="56"/>
      <x:c r="C2" s="56"/>
      <x:c r="D2" s="56"/>
      <x:c r="E2" s="56"/>
      <x:c r="F2" s="56"/>
      <x:c r="G2" s="56"/>
    </x:row>
    <x:row r="4">
      <x:c r="A4" s="3" t="s">
        <x:v>151</x:v>
      </x:c>
      <x:c r="B4" s="3" t="s">
        <x:v>152</x:v>
      </x:c>
      <x:c r="C4" s="3" t="s">
        <x:v>153</x:v>
      </x:c>
      <x:c r="D4" s="3" t="s">
        <x:v>154</x:v>
      </x:c>
      <x:c r="E4" s="3" t="s">
        <x:v>155</x:v>
      </x:c>
      <x:c r="F4" s="3" t="s">
        <x:v>156</x:v>
      </x:c>
      <x:c r="G4" s="3" t="s">
        <x:v>157</x:v>
      </x:c>
    </x:row>
    <x:row r="5" ht="28.5" customHeight="1">
      <x:c r="A5" s="5">
        <x:v>46247</x:v>
      </x:c>
      <x:c r="B5" s="7">
        <x:v>1</x:v>
      </x:c>
      <x:c r="C5" s="7" t="s">
        <x:v>37</x:v>
      </x:c>
      <x:c r="D5" s="8">
        <x:v>7.0000000000000007E-2</x:v>
      </x:c>
      <x:c r="E5" s="7" t="s">
        <x:v>52</x:v>
      </x:c>
      <x:c r="F5" s="7" t="s">
        <x:v>158</x:v>
      </x:c>
      <x:c r="G5" s="6" t="s">
        <x:v>159</x:v>
      </x:c>
    </x:row>
    <x:row r="6" ht="28.5" customHeight="1">
      <x:c r="A6" s="5">
        <x:v>46247</x:v>
      </x:c>
      <x:c r="B6" s="7">
        <x:v>1</x:v>
      </x:c>
      <x:c r="C6" s="7" t="s">
        <x:v>37</x:v>
      </x:c>
      <x:c r="D6" s="8">
        <x:v>7.0000000000000007E-2</x:v>
      </x:c>
      <x:c r="E6" s="7" t="s">
        <x:v>7</x:v>
      </x:c>
      <x:c r="F6" s="7" t="s">
        <x:v>160</x:v>
      </x:c>
      <x:c r="G6" s="6" t="s">
        <x:v>161</x:v>
      </x:c>
    </x:row>
    <x:row r="7" ht="28.5" customHeight="1">
      <x:c r="A7" s="5">
        <x:v>46247</x:v>
      </x:c>
      <x:c r="B7" s="7">
        <x:v>1</x:v>
      </x:c>
      <x:c r="C7" s="7" t="s">
        <x:v>37</x:v>
      </x:c>
      <x:c r="D7" s="8">
        <x:v>7.0000000000000007E-2</x:v>
      </x:c>
      <x:c r="E7" s="7" t="s">
        <x:v>111</x:v>
      </x:c>
      <x:c r="F7" s="7" t="s">
        <x:v>162</x:v>
      </x:c>
      <x:c r="G7" s="6" t="s">
        <x:v>163</x:v>
      </x:c>
    </x:row>
    <x:row r="8" ht="28.5" customHeight="1">
      <x:c r="A8" s="5">
        <x:v>46247</x:v>
      </x:c>
      <x:c r="B8" s="7">
        <x:v>1</x:v>
      </x:c>
      <x:c r="C8" s="7" t="s">
        <x:v>37</x:v>
      </x:c>
      <x:c r="D8" s="8">
        <x:v>7.0000000000000007E-2</x:v>
      </x:c>
      <x:c r="E8" s="7" t="s">
        <x:v>37</x:v>
      </x:c>
      <x:c r="F8" s="7" t="s">
        <x:v>164</x:v>
      </x:c>
      <x:c r="G8" s="6" t="s">
        <x:v>165</x:v>
      </x:c>
    </x:row>
    <x:row r="9" ht="28.5" customHeight="1">
      <x:c r="A9" s="5">
        <x:v>46247</x:v>
      </x:c>
      <x:c r="B9" s="7">
        <x:v>1</x:v>
      </x:c>
      <x:c r="C9" s="7" t="s">
        <x:v>37</x:v>
      </x:c>
      <x:c r="D9" s="8">
        <x:v>7.0000000000000007E-2</x:v>
      </x:c>
      <x:c r="E9" s="7" t="s">
        <x:v>4</x:v>
      </x:c>
      <x:c r="F9" s="7" t="s">
        <x:v>166</x:v>
      </x:c>
      <x:c r="G9" s="6" t="s">
        <x:v>167</x:v>
      </x:c>
    </x:row>
    <x:row r="10" ht="28.5" customHeight="1">
      <x:c r="A10" s="5">
        <x:v>46252</x:v>
      </x:c>
      <x:c r="B10" s="7">
        <x:v>2</x:v>
      </x:c>
      <x:c r="C10" s="7" t="s">
        <x:v>52</x:v>
      </x:c>
      <x:c r="D10" s="8">
        <x:v>1</x:v>
      </x:c>
      <x:c r="E10" s="7" t="s">
        <x:v>52</x:v>
      </x:c>
      <x:c r="F10" s="7" t="s">
        <x:v>158</x:v>
      </x:c>
      <x:c r="G10" s="6" t="s">
        <x:v>159</x:v>
      </x:c>
    </x:row>
    <x:row r="11" ht="28.5" customHeight="1">
      <x:c r="A11" s="5">
        <x:v>46252</x:v>
      </x:c>
      <x:c r="B11" s="7">
        <x:v>2</x:v>
      </x:c>
      <x:c r="C11" s="7" t="s">
        <x:v>52</x:v>
      </x:c>
      <x:c r="D11" s="8">
        <x:v>1</x:v>
      </x:c>
      <x:c r="E11" s="7" t="s">
        <x:v>7</x:v>
      </x:c>
      <x:c r="F11" s="7" t="s">
        <x:v>160</x:v>
      </x:c>
      <x:c r="G11" s="6" t="s">
        <x:v>161</x:v>
      </x:c>
    </x:row>
    <x:row r="12" ht="28.5" customHeight="1">
      <x:c r="A12" s="5">
        <x:v>46252</x:v>
      </x:c>
      <x:c r="B12" s="7">
        <x:v>2</x:v>
      </x:c>
      <x:c r="C12" s="7" t="s">
        <x:v>52</x:v>
      </x:c>
      <x:c r="D12" s="8">
        <x:v>1</x:v>
      </x:c>
      <x:c r="E12" s="7" t="s">
        <x:v>111</x:v>
      </x:c>
      <x:c r="F12" s="7" t="s">
        <x:v>162</x:v>
      </x:c>
      <x:c r="G12" s="6" t="s">
        <x:v>163</x:v>
      </x:c>
    </x:row>
    <x:row r="13" ht="28.5" customHeight="1">
      <x:c r="A13" s="5">
        <x:v>46252</x:v>
      </x:c>
      <x:c r="B13" s="7">
        <x:v>2</x:v>
      </x:c>
      <x:c r="C13" s="7" t="s">
        <x:v>52</x:v>
      </x:c>
      <x:c r="D13" s="8">
        <x:v>1</x:v>
      </x:c>
      <x:c r="E13" s="7" t="s">
        <x:v>37</x:v>
      </x:c>
      <x:c r="F13" s="7" t="s">
        <x:v>164</x:v>
      </x:c>
      <x:c r="G13" s="6" t="s">
        <x:v>165</x:v>
      </x:c>
    </x:row>
    <x:row r="14" ht="28.5" customHeight="1">
      <x:c r="A14" s="5">
        <x:v>46252</x:v>
      </x:c>
      <x:c r="B14" s="7">
        <x:v>2</x:v>
      </x:c>
      <x:c r="C14" s="7" t="s">
        <x:v>52</x:v>
      </x:c>
      <x:c r="D14" s="8">
        <x:v>1</x:v>
      </x:c>
      <x:c r="E14" s="7" t="s">
        <x:v>4</x:v>
      </x:c>
      <x:c r="F14" s="7" t="s">
        <x:v>166</x:v>
      </x:c>
      <x:c r="G14" s="6" t="s">
        <x:v>167</x:v>
      </x:c>
    </x:row>
    <x:row r="15" ht="28.5" customHeight="1">
      <x:c r="A15" s="5">
        <x:v>46253</x:v>
      </x:c>
      <x:c r="B15" s="7">
        <x:v>3</x:v>
      </x:c>
      <x:c r="C15" s="7" t="s">
        <x:v>52</x:v>
      </x:c>
      <x:c r="D15" s="8">
        <x:v>1</x:v>
      </x:c>
      <x:c r="E15" s="7" t="s">
        <x:v>52</x:v>
      </x:c>
      <x:c r="F15" s="7" t="s">
        <x:v>158</x:v>
      </x:c>
      <x:c r="G15" s="6" t="s">
        <x:v>168</x:v>
      </x:c>
    </x:row>
    <x:row r="16" ht="28.5" customHeight="1">
      <x:c r="A16" s="5">
        <x:v>46253</x:v>
      </x:c>
      <x:c r="B16" s="7">
        <x:v>3</x:v>
      </x:c>
      <x:c r="C16" s="7" t="s">
        <x:v>52</x:v>
      </x:c>
      <x:c r="D16" s="8">
        <x:v>1</x:v>
      </x:c>
      <x:c r="E16" s="7" t="s">
        <x:v>7</x:v>
      </x:c>
      <x:c r="F16" s="7" t="s">
        <x:v>160</x:v>
      </x:c>
      <x:c r="G16" s="6" t="s">
        <x:v>169</x:v>
      </x:c>
    </x:row>
    <x:row r="17" ht="28.5" customHeight="1">
      <x:c r="A17" s="5">
        <x:v>46253</x:v>
      </x:c>
      <x:c r="B17" s="7">
        <x:v>3</x:v>
      </x:c>
      <x:c r="C17" s="7" t="s">
        <x:v>52</x:v>
      </x:c>
      <x:c r="D17" s="8">
        <x:v>1</x:v>
      </x:c>
      <x:c r="E17" s="7" t="s">
        <x:v>111</x:v>
      </x:c>
      <x:c r="F17" s="7" t="s">
        <x:v>162</x:v>
      </x:c>
      <x:c r="G17" s="6" t="s">
        <x:v>170</x:v>
      </x:c>
    </x:row>
    <x:row r="18" ht="28.5" customHeight="1">
      <x:c r="A18" s="5">
        <x:v>46253</x:v>
      </x:c>
      <x:c r="B18" s="7">
        <x:v>3</x:v>
      </x:c>
      <x:c r="C18" s="7" t="s">
        <x:v>52</x:v>
      </x:c>
      <x:c r="D18" s="8">
        <x:v>1</x:v>
      </x:c>
      <x:c r="E18" s="7" t="s">
        <x:v>37</x:v>
      </x:c>
      <x:c r="F18" s="7" t="s">
        <x:v>164</x:v>
      </x:c>
      <x:c r="G18" s="6" t="s">
        <x:v>171</x:v>
      </x:c>
    </x:row>
    <x:row r="19" ht="28.5" customHeight="1">
      <x:c r="A19" s="5">
        <x:v>46253</x:v>
      </x:c>
      <x:c r="B19" s="7">
        <x:v>3</x:v>
      </x:c>
      <x:c r="C19" s="7" t="s">
        <x:v>52</x:v>
      </x:c>
      <x:c r="D19" s="8">
        <x:v>1</x:v>
      </x:c>
      <x:c r="E19" s="7" t="s">
        <x:v>4</x:v>
      </x:c>
      <x:c r="F19" s="7" t="s">
        <x:v>166</x:v>
      </x:c>
      <x:c r="G19" s="6" t="s">
        <x:v>172</x:v>
      </x:c>
    </x:row>
    <x:row r="20" ht="28.5" customHeight="1">
      <x:c r="A20" s="5">
        <x:v>46255</x:v>
      </x:c>
      <x:c r="B20" s="7">
        <x:v>4</x:v>
      </x:c>
      <x:c r="C20" s="7" t="s">
        <x:v>7</x:v>
      </x:c>
      <x:c r="D20" s="8">
        <x:v>0.15</x:v>
      </x:c>
      <x:c r="E20" s="7" t="s">
        <x:v>52</x:v>
      </x:c>
      <x:c r="F20" s="7" t="s">
        <x:v>158</x:v>
      </x:c>
      <x:c r="G20" s="6" t="s">
        <x:v>173</x:v>
      </x:c>
    </x:row>
    <x:row r="21" ht="28.5" customHeight="1">
      <x:c r="A21" s="5">
        <x:v>46255</x:v>
      </x:c>
      <x:c r="B21" s="7">
        <x:v>4</x:v>
      </x:c>
      <x:c r="C21" s="7" t="s">
        <x:v>7</x:v>
      </x:c>
      <x:c r="D21" s="8">
        <x:v>0.15</x:v>
      </x:c>
      <x:c r="E21" s="7" t="s">
        <x:v>7</x:v>
      </x:c>
      <x:c r="F21" s="7" t="s">
        <x:v>160</x:v>
      </x:c>
      <x:c r="G21" s="6" t="s">
        <x:v>174</x:v>
      </x:c>
    </x:row>
    <x:row r="22" ht="28.5" customHeight="1">
      <x:c r="A22" s="5">
        <x:v>46255</x:v>
      </x:c>
      <x:c r="B22" s="7">
        <x:v>4</x:v>
      </x:c>
      <x:c r="C22" s="7" t="s">
        <x:v>7</x:v>
      </x:c>
      <x:c r="D22" s="8">
        <x:v>0.15</x:v>
      </x:c>
      <x:c r="E22" s="7" t="s">
        <x:v>111</x:v>
      </x:c>
      <x:c r="F22" s="7" t="s">
        <x:v>162</x:v>
      </x:c>
      <x:c r="G22" s="6" t="s">
        <x:v>175</x:v>
      </x:c>
    </x:row>
    <x:row r="23" ht="28.5" customHeight="1">
      <x:c r="A23" s="5">
        <x:v>46255</x:v>
      </x:c>
      <x:c r="B23" s="7">
        <x:v>4</x:v>
      </x:c>
      <x:c r="C23" s="7" t="s">
        <x:v>7</x:v>
      </x:c>
      <x:c r="D23" s="8">
        <x:v>0.15</x:v>
      </x:c>
      <x:c r="E23" s="7" t="s">
        <x:v>37</x:v>
      </x:c>
      <x:c r="F23" s="7" t="s">
        <x:v>164</x:v>
      </x:c>
      <x:c r="G23" s="6" t="s">
        <x:v>176</x:v>
      </x:c>
    </x:row>
    <x:row r="24" ht="28.5" customHeight="1">
      <x:c r="A24" s="5">
        <x:v>46255</x:v>
      </x:c>
      <x:c r="B24" s="7">
        <x:v>4</x:v>
      </x:c>
      <x:c r="C24" s="7" t="s">
        <x:v>7</x:v>
      </x:c>
      <x:c r="D24" s="8">
        <x:v>0.15</x:v>
      </x:c>
      <x:c r="E24" s="7" t="s">
        <x:v>4</x:v>
      </x:c>
      <x:c r="F24" s="7" t="s">
        <x:v>166</x:v>
      </x:c>
      <x:c r="G24" s="6" t="s">
        <x:v>177</x:v>
      </x:c>
    </x:row>
    <x:row r="25" ht="28.5" customHeight="1">
      <x:c r="A25" s="5">
        <x:v>46258</x:v>
      </x:c>
      <x:c r="B25" s="7">
        <x:v>5</x:v>
      </x:c>
      <x:c r="C25" s="7" t="s">
        <x:v>52</x:v>
      </x:c>
      <x:c r="D25" s="8">
        <x:v>1</x:v>
      </x:c>
      <x:c r="E25" s="7" t="s">
        <x:v>52</x:v>
      </x:c>
      <x:c r="F25" s="7" t="s">
        <x:v>158</x:v>
      </x:c>
      <x:c r="G25" s="6" t="s">
        <x:v>178</x:v>
      </x:c>
    </x:row>
    <x:row r="26" ht="28.5" customHeight="1">
      <x:c r="A26" s="5">
        <x:v>46258</x:v>
      </x:c>
      <x:c r="B26" s="7">
        <x:v>5</x:v>
      </x:c>
      <x:c r="C26" s="7" t="s">
        <x:v>52</x:v>
      </x:c>
      <x:c r="D26" s="8">
        <x:v>1</x:v>
      </x:c>
      <x:c r="E26" s="7" t="s">
        <x:v>7</x:v>
      </x:c>
      <x:c r="F26" s="7" t="s">
        <x:v>160</x:v>
      </x:c>
      <x:c r="G26" s="6" t="s">
        <x:v>179</x:v>
      </x:c>
    </x:row>
    <x:row r="27" ht="28.5" customHeight="1">
      <x:c r="A27" s="5">
        <x:v>46258</x:v>
      </x:c>
      <x:c r="B27" s="7">
        <x:v>5</x:v>
      </x:c>
      <x:c r="C27" s="7" t="s">
        <x:v>52</x:v>
      </x:c>
      <x:c r="D27" s="8">
        <x:v>1</x:v>
      </x:c>
      <x:c r="E27" s="7" t="s">
        <x:v>111</x:v>
      </x:c>
      <x:c r="F27" s="7" t="s">
        <x:v>162</x:v>
      </x:c>
      <x:c r="G27" s="6" t="s">
        <x:v>180</x:v>
      </x:c>
    </x:row>
    <x:row r="28" ht="28.5" customHeight="1">
      <x:c r="A28" s="5">
        <x:v>46258</x:v>
      </x:c>
      <x:c r="B28" s="7">
        <x:v>5</x:v>
      </x:c>
      <x:c r="C28" s="7" t="s">
        <x:v>52</x:v>
      </x:c>
      <x:c r="D28" s="8">
        <x:v>1</x:v>
      </x:c>
      <x:c r="E28" s="7" t="s">
        <x:v>37</x:v>
      </x:c>
      <x:c r="F28" s="7" t="s">
        <x:v>164</x:v>
      </x:c>
      <x:c r="G28" s="6" t="s">
        <x:v>181</x:v>
      </x:c>
    </x:row>
    <x:row r="29" ht="28.5" customHeight="1">
      <x:c r="A29" s="5">
        <x:v>46258</x:v>
      </x:c>
      <x:c r="B29" s="7">
        <x:v>5</x:v>
      </x:c>
      <x:c r="C29" s="7" t="s">
        <x:v>52</x:v>
      </x:c>
      <x:c r="D29" s="8">
        <x:v>1</x:v>
      </x:c>
      <x:c r="E29" s="7" t="s">
        <x:v>4</x:v>
      </x:c>
      <x:c r="F29" s="7" t="s">
        <x:v>166</x:v>
      </x:c>
      <x:c r="G29" s="6" t="s">
        <x:v>182</x:v>
      </x:c>
    </x:row>
    <x:row r="30" ht="28.5" customHeight="1">
      <x:c r="A30" s="5">
        <x:v>46259</x:v>
      </x:c>
      <x:c r="B30" s="7">
        <x:v>6</x:v>
      </x:c>
      <x:c r="C30" s="7" t="s">
        <x:v>7</x:v>
      </x:c>
      <x:c r="D30" s="8">
        <x:v>0.17</x:v>
      </x:c>
      <x:c r="E30" s="7" t="s">
        <x:v>52</x:v>
      </x:c>
      <x:c r="F30" s="7" t="s">
        <x:v>158</x:v>
      </x:c>
      <x:c r="G30" s="6" t="s">
        <x:v>183</x:v>
      </x:c>
    </x:row>
    <x:row r="31" ht="28.5" customHeight="1">
      <x:c r="A31" s="5">
        <x:v>46259</x:v>
      </x:c>
      <x:c r="B31" s="7">
        <x:v>6</x:v>
      </x:c>
      <x:c r="C31" s="7" t="s">
        <x:v>7</x:v>
      </x:c>
      <x:c r="D31" s="8">
        <x:v>0.17</x:v>
      </x:c>
      <x:c r="E31" s="7" t="s">
        <x:v>7</x:v>
      </x:c>
      <x:c r="F31" s="7" t="s">
        <x:v>160</x:v>
      </x:c>
      <x:c r="G31" s="6" t="s">
        <x:v>184</x:v>
      </x:c>
    </x:row>
    <x:row r="32" ht="28.5" customHeight="1">
      <x:c r="A32" s="5">
        <x:v>46259</x:v>
      </x:c>
      <x:c r="B32" s="7">
        <x:v>6</x:v>
      </x:c>
      <x:c r="C32" s="7" t="s">
        <x:v>7</x:v>
      </x:c>
      <x:c r="D32" s="8">
        <x:v>0.17</x:v>
      </x:c>
      <x:c r="E32" s="7" t="s">
        <x:v>111</x:v>
      </x:c>
      <x:c r="F32" s="7" t="s">
        <x:v>162</x:v>
      </x:c>
      <x:c r="G32" s="6" t="s">
        <x:v>185</x:v>
      </x:c>
    </x:row>
    <x:row r="33" ht="28.5" customHeight="1">
      <x:c r="A33" s="5">
        <x:v>46259</x:v>
      </x:c>
      <x:c r="B33" s="7">
        <x:v>6</x:v>
      </x:c>
      <x:c r="C33" s="7" t="s">
        <x:v>7</x:v>
      </x:c>
      <x:c r="D33" s="8">
        <x:v>0.17</x:v>
      </x:c>
      <x:c r="E33" s="7" t="s">
        <x:v>37</x:v>
      </x:c>
      <x:c r="F33" s="7" t="s">
        <x:v>164</x:v>
      </x:c>
      <x:c r="G33" s="6" t="s">
        <x:v>186</x:v>
      </x:c>
    </x:row>
    <x:row r="34" ht="28.5" customHeight="1">
      <x:c r="A34" s="5">
        <x:v>46259</x:v>
      </x:c>
      <x:c r="B34" s="7">
        <x:v>6</x:v>
      </x:c>
      <x:c r="C34" s="7" t="s">
        <x:v>7</x:v>
      </x:c>
      <x:c r="D34" s="8">
        <x:v>0.17</x:v>
      </x:c>
      <x:c r="E34" s="7" t="s">
        <x:v>4</x:v>
      </x:c>
      <x:c r="F34" s="7" t="s">
        <x:v>166</x:v>
      </x:c>
      <x:c r="G34" s="6" t="s">
        <x:v>187</x:v>
      </x:c>
    </x:row>
    <x:row r="35" ht="28.5" customHeight="1">
      <x:c r="A35" s="5">
        <x:v>46260</x:v>
      </x:c>
      <x:c r="B35" s="7">
        <x:v>7</x:v>
      </x:c>
      <x:c r="C35" s="7" t="s">
        <x:v>52</x:v>
      </x:c>
      <x:c r="D35" s="8">
        <x:v>1</x:v>
      </x:c>
      <x:c r="E35" s="7" t="s">
        <x:v>52</x:v>
      </x:c>
      <x:c r="F35" s="7" t="s">
        <x:v>158</x:v>
      </x:c>
      <x:c r="G35" s="6" t="s">
        <x:v>188</x:v>
      </x:c>
    </x:row>
    <x:row r="36" ht="28.5" customHeight="1">
      <x:c r="A36" s="5">
        <x:v>46260</x:v>
      </x:c>
      <x:c r="B36" s="7">
        <x:v>7</x:v>
      </x:c>
      <x:c r="C36" s="7" t="s">
        <x:v>52</x:v>
      </x:c>
      <x:c r="D36" s="8">
        <x:v>1</x:v>
      </x:c>
      <x:c r="E36" s="7" t="s">
        <x:v>7</x:v>
      </x:c>
      <x:c r="F36" s="7" t="s">
        <x:v>160</x:v>
      </x:c>
      <x:c r="G36" s="6" t="s">
        <x:v>189</x:v>
      </x:c>
    </x:row>
    <x:row r="37" ht="28.5" customHeight="1">
      <x:c r="A37" s="5">
        <x:v>46260</x:v>
      </x:c>
      <x:c r="B37" s="7">
        <x:v>7</x:v>
      </x:c>
      <x:c r="C37" s="7" t="s">
        <x:v>52</x:v>
      </x:c>
      <x:c r="D37" s="8">
        <x:v>1</x:v>
      </x:c>
      <x:c r="E37" s="7" t="s">
        <x:v>111</x:v>
      </x:c>
      <x:c r="F37" s="7" t="s">
        <x:v>162</x:v>
      </x:c>
      <x:c r="G37" s="6" t="s">
        <x:v>190</x:v>
      </x:c>
    </x:row>
    <x:row r="38" ht="28.5" customHeight="1">
      <x:c r="A38" s="5">
        <x:v>46260</x:v>
      </x:c>
      <x:c r="B38" s="7">
        <x:v>7</x:v>
      </x:c>
      <x:c r="C38" s="7" t="s">
        <x:v>52</x:v>
      </x:c>
      <x:c r="D38" s="8">
        <x:v>1</x:v>
      </x:c>
      <x:c r="E38" s="7" t="s">
        <x:v>37</x:v>
      </x:c>
      <x:c r="F38" s="7" t="s">
        <x:v>164</x:v>
      </x:c>
      <x:c r="G38" s="6" t="s">
        <x:v>191</x:v>
      </x:c>
    </x:row>
    <x:row r="39" ht="28.5" customHeight="1">
      <x:c r="A39" s="5">
        <x:v>46260</x:v>
      </x:c>
      <x:c r="B39" s="7">
        <x:v>7</x:v>
      </x:c>
      <x:c r="C39" s="7" t="s">
        <x:v>52</x:v>
      </x:c>
      <x:c r="D39" s="8">
        <x:v>1</x:v>
      </x:c>
      <x:c r="E39" s="7" t="s">
        <x:v>4</x:v>
      </x:c>
      <x:c r="F39" s="7" t="s">
        <x:v>166</x:v>
      </x:c>
      <x:c r="G39" s="6" t="s">
        <x:v>192</x:v>
      </x:c>
    </x:row>
    <x:row r="40" ht="15.75" customHeight="1"/>
    <x:row r="41" ht="15.75" customHeight="1"/>
    <x:row r="42" ht="15.75" customHeight="1">
      <x:c r="A42" s="55" t="s">
        <x:v>193</x:v>
      </x:c>
      <x:c r="B42" s="56"/>
      <x:c r="C42" s="56"/>
      <x:c r="D42" s="56"/>
      <x:c r="E42" s="56"/>
      <x:c r="F42" s="56"/>
      <x:c r="G42" s="56"/>
    </x:row>
    <x:row r="43" ht="15.75" customHeight="1">
      <x:c r="A43" s="3" t="s">
        <x:v>151</x:v>
      </x:c>
      <x:c r="B43" s="58" t="s">
        <x:v>194</x:v>
      </x:c>
      <x:c r="C43" s="41"/>
      <x:c r="D43" s="41"/>
      <x:c r="E43" s="41"/>
      <x:c r="F43" s="41"/>
      <x:c r="G43" s="42"/>
    </x:row>
    <x:row r="44" ht="31.5" customHeight="1">
      <x:c r="A44" s="5">
        <x:v>46247</x:v>
      </x:c>
      <x:c r="B44" s="54" t="s">
        <x:v>195</x:v>
      </x:c>
      <x:c r="C44" s="41"/>
      <x:c r="D44" s="41"/>
      <x:c r="E44" s="41"/>
      <x:c r="F44" s="41"/>
      <x:c r="G44" s="42"/>
    </x:row>
    <x:row r="45" ht="31.5" customHeight="1">
      <x:c r="A45" s="5">
        <x:v>46252</x:v>
      </x:c>
      <x:c r="B45" s="54" t="s">
        <x:v>196</x:v>
      </x:c>
      <x:c r="C45" s="41"/>
      <x:c r="D45" s="41"/>
      <x:c r="E45" s="41"/>
      <x:c r="F45" s="41"/>
      <x:c r="G45" s="42"/>
    </x:row>
    <x:row r="46" ht="31.5" customHeight="1">
      <x:c r="A46" s="5">
        <x:v>46253</x:v>
      </x:c>
      <x:c r="B46" s="54" t="s">
        <x:v>197</x:v>
      </x:c>
      <x:c r="C46" s="41"/>
      <x:c r="D46" s="41"/>
      <x:c r="E46" s="41"/>
      <x:c r="F46" s="41"/>
      <x:c r="G46" s="42"/>
    </x:row>
    <x:row r="47" ht="31.5" customHeight="1">
      <x:c r="A47" s="5">
        <x:v>46255</x:v>
      </x:c>
      <x:c r="B47" s="54" t="s">
        <x:v>198</x:v>
      </x:c>
      <x:c r="C47" s="41"/>
      <x:c r="D47" s="41"/>
      <x:c r="E47" s="41"/>
      <x:c r="F47" s="41"/>
      <x:c r="G47" s="42"/>
    </x:row>
    <x:row r="48" ht="31.5" customHeight="1">
      <x:c r="A48" s="5">
        <x:v>46258</x:v>
      </x:c>
      <x:c r="B48" s="54" t="s">
        <x:v>199</x:v>
      </x:c>
      <x:c r="C48" s="41"/>
      <x:c r="D48" s="41"/>
      <x:c r="E48" s="41"/>
      <x:c r="F48" s="41"/>
      <x:c r="G48" s="42"/>
    </x:row>
    <x:row r="49" ht="31.5" customHeight="1">
      <x:c r="A49" s="5">
        <x:v>46259</x:v>
      </x:c>
      <x:c r="B49" s="54" t="s">
        <x:v>200</x:v>
      </x:c>
      <x:c r="C49" s="41"/>
      <x:c r="D49" s="41"/>
      <x:c r="E49" s="41"/>
      <x:c r="F49" s="41"/>
      <x:c r="G49" s="42"/>
    </x:row>
    <x:row r="50" ht="31.5" customHeight="1">
      <x:c r="A50" s="5">
        <x:v>46260</x:v>
      </x:c>
      <x:c r="B50" s="54" t="s">
        <x:v>201</x:v>
      </x:c>
      <x:c r="C50" s="41"/>
      <x:c r="D50" s="41"/>
      <x:c r="E50" s="41"/>
      <x:c r="F50" s="41"/>
      <x:c r="G50" s="42"/>
    </x:row>
    <x:row r="51" ht="15.75" customHeight="1"/>
    <x:row r="52" ht="24" customHeight="1">
      <x:c r="A52" s="59" t="s">
        <x:v>202</x:v>
      </x:c>
      <x:c r="B52" s="59"/>
      <x:c r="C52" s="59"/>
      <x:c r="D52" s="59"/>
      <x:c r="E52" s="59"/>
      <x:c r="F52" s="59"/>
      <x:c r="G52" s="59"/>
    </x:row>
    <x:row r="53" ht="28.049999237060547" customHeight="1">
      <x:c r="A53" s="31" t="s">
        <x:v>151</x:v>
      </x:c>
      <x:c r="B53" s="31" t="s">
        <x:v>152</x:v>
      </x:c>
      <x:c r="C53" s="31" t="s">
        <x:v>153</x:v>
      </x:c>
      <x:c r="D53" s="31" t="s">
        <x:v>203</x:v>
      </x:c>
      <x:c r="E53" s="31" t="s">
        <x:v>155</x:v>
      </x:c>
      <x:c r="F53" s="31" t="s">
        <x:v>156</x:v>
      </x:c>
      <x:c r="G53" s="31" t="s">
        <x:v>204</x:v>
      </x:c>
    </x:row>
    <x:row r="54" ht="37.95000076293945" customHeight="1">
      <x:c r="A54" s="35">
        <x:v>46293</x:v>
      </x:c>
      <x:c r="B54" s="36" t="s">
        <x:v>205</x:v>
      </x:c>
      <x:c r="C54" s="36" t="s">
        <x:v>206</x:v>
      </x:c>
      <x:c r="D54" s="36" t="s">
        <x:v>207</x:v>
      </x:c>
      <x:c r="E54" s="36" t="s">
        <x:v>52</x:v>
      </x:c>
      <x:c r="F54" s="36" t="s">
        <x:v>158</x:v>
      </x:c>
      <x:c r="G54" s="33" t="s">
        <x:v>208</x:v>
      </x:c>
    </x:row>
    <x:row r="55" ht="37.95000076293945" customHeight="1">
      <x:c r="A55" s="35">
        <x:v>46293</x:v>
      </x:c>
      <x:c r="B55" s="36" t="s">
        <x:v>205</x:v>
      </x:c>
      <x:c r="C55" s="36" t="s">
        <x:v>206</x:v>
      </x:c>
      <x:c r="D55" s="36" t="s">
        <x:v>209</x:v>
      </x:c>
      <x:c r="E55" s="36" t="s">
        <x:v>7</x:v>
      </x:c>
      <x:c r="F55" s="36" t="s">
        <x:v>160</x:v>
      </x:c>
      <x:c r="G55" s="33" t="s">
        <x:v>210</x:v>
      </x:c>
    </x:row>
    <x:row r="56" ht="37.95000076293945" customHeight="1">
      <x:c r="A56" s="35">
        <x:v>46293</x:v>
      </x:c>
      <x:c r="B56" s="36" t="s">
        <x:v>205</x:v>
      </x:c>
      <x:c r="C56" s="36" t="s">
        <x:v>206</x:v>
      </x:c>
      <x:c r="D56" s="36" t="s">
        <x:v>211</x:v>
      </x:c>
      <x:c r="E56" s="36" t="s">
        <x:v>111</x:v>
      </x:c>
      <x:c r="F56" s="36" t="s">
        <x:v>162</x:v>
      </x:c>
      <x:c r="G56" s="33" t="s">
        <x:v>212</x:v>
      </x:c>
    </x:row>
    <x:row r="57" ht="37.95000076293945" customHeight="1">
      <x:c r="A57" s="35">
        <x:v>46293</x:v>
      </x:c>
      <x:c r="B57" s="36" t="s">
        <x:v>205</x:v>
      </x:c>
      <x:c r="C57" s="36" t="s">
        <x:v>206</x:v>
      </x:c>
      <x:c r="D57" s="36" t="s">
        <x:v>213</x:v>
      </x:c>
      <x:c r="E57" s="36" t="s">
        <x:v>37</x:v>
      </x:c>
      <x:c r="F57" s="36" t="s">
        <x:v>164</x:v>
      </x:c>
      <x:c r="G57" s="33" t="s">
        <x:v>214</x:v>
      </x:c>
    </x:row>
    <x:row r="58" ht="37.95000076293945" customHeight="1">
      <x:c r="A58" s="35">
        <x:v>46293</x:v>
      </x:c>
      <x:c r="B58" s="36" t="s">
        <x:v>205</x:v>
      </x:c>
      <x:c r="C58" s="36" t="s">
        <x:v>206</x:v>
      </x:c>
      <x:c r="D58" s="36" t="s">
        <x:v>215</x:v>
      </x:c>
      <x:c r="E58" s="36" t="s">
        <x:v>4</x:v>
      </x:c>
      <x:c r="F58" s="36" t="s">
        <x:v>166</x:v>
      </x:c>
      <x:c r="G58" s="33" t="s">
        <x:v>216</x:v>
      </x:c>
    </x:row>
    <x:row r="59" ht="15.75" customHeight="1">
      <x:c r="A59" s="30"/>
      <x:c r="B59" s="30"/>
      <x:c r="C59" s="30"/>
      <x:c r="D59" s="30"/>
      <x:c r="E59" s="30"/>
      <x:c r="F59" s="30"/>
      <x:c r="G59" s="30"/>
    </x:row>
    <x:row r="60" ht="24" customHeight="1">
      <x:c r="A60" s="59" t="s">
        <x:v>217</x:v>
      </x:c>
      <x:c r="B60" s="59"/>
      <x:c r="C60" s="59"/>
      <x:c r="D60" s="59"/>
      <x:c r="E60" s="59"/>
      <x:c r="F60" s="59"/>
      <x:c r="G60" s="59"/>
    </x:row>
    <x:row r="61" ht="28.049999237060547" customHeight="1">
      <x:c r="A61" s="31" t="s">
        <x:v>151</x:v>
      </x:c>
      <x:c r="B61" s="31" t="s">
        <x:v>218</x:v>
      </x:c>
      <x:c r="C61" s="31"/>
      <x:c r="D61" s="31"/>
      <x:c r="E61" s="31"/>
      <x:c r="F61" s="31"/>
      <x:c r="G61" s="31"/>
    </x:row>
    <x:row r="62" ht="31.950000762939453" customHeight="1">
      <x:c r="A62" s="34">
        <x:v>46293</x:v>
      </x:c>
      <x:c r="B62" s="60" t="s">
        <x:v>219</x:v>
      </x:c>
      <x:c r="C62" s="60"/>
      <x:c r="D62" s="60"/>
      <x:c r="E62" s="60"/>
      <x:c r="F62" s="60"/>
      <x:c r="G62" s="60"/>
    </x:row>
    <x:row r="63" ht="31.950000762939453" customHeight="1">
      <x:c r="A63" s="34">
        <x:v>46293</x:v>
      </x:c>
      <x:c r="B63" s="60" t="s">
        <x:v>220</x:v>
      </x:c>
      <x:c r="C63" s="60"/>
      <x:c r="D63" s="60"/>
      <x:c r="E63" s="60"/>
      <x:c r="F63" s="60"/>
      <x:c r="G63" s="60"/>
    </x:row>
    <x:row r="64" ht="31.950000762939453" customHeight="1">
      <x:c r="A64" s="34">
        <x:v>46293</x:v>
      </x:c>
      <x:c r="B64" s="60" t="s">
        <x:v>221</x:v>
      </x:c>
      <x:c r="C64" s="60"/>
      <x:c r="D64" s="60"/>
      <x:c r="E64" s="60"/>
      <x:c r="F64" s="60"/>
      <x:c r="G64" s="60"/>
    </x:row>
    <x:row r="65" ht="31.950000762939453" customHeight="1">
      <x:c r="A65" s="34">
        <x:v>46293</x:v>
      </x:c>
      <x:c r="B65" s="60" t="s">
        <x:v>222</x:v>
      </x:c>
      <x:c r="C65" s="60"/>
      <x:c r="D65" s="60"/>
      <x:c r="E65" s="60"/>
      <x:c r="F65" s="60"/>
      <x:c r="G65" s="60"/>
    </x:row>
    <x:row r="66" ht="31.950000762939453" customHeight="1">
      <x:c r="A66" s="34">
        <x:v>46293</x:v>
      </x:c>
      <x:c r="B66" s="60" t="s">
        <x:v>223</x:v>
      </x:c>
      <x:c r="C66" s="60"/>
      <x:c r="D66" s="60"/>
      <x:c r="E66" s="60"/>
      <x:c r="F66" s="60"/>
      <x:c r="G66" s="60"/>
    </x:row>
    <x:row r="67" ht="31.950000762939453" customHeight="1">
      <x:c r="A67" s="34">
        <x:v>46293</x:v>
      </x:c>
      <x:c r="B67" s="60" t="s">
        <x:v>224</x:v>
      </x:c>
      <x:c r="C67" s="60"/>
      <x:c r="D67" s="60"/>
      <x:c r="E67" s="60"/>
      <x:c r="F67" s="60"/>
      <x:c r="G67" s="60"/>
    </x:row>
    <x:row r="68" ht="31.950000762939453" customHeight="1">
      <x:c r="A68" s="34">
        <x:v>46293</x:v>
      </x:c>
      <x:c r="B68" s="60" t="s">
        <x:v>225</x:v>
      </x:c>
      <x:c r="C68" s="60"/>
      <x:c r="D68" s="60"/>
      <x:c r="E68" s="60"/>
      <x:c r="F68" s="60"/>
      <x:c r="G68" s="60"/>
    </x:row>
    <x:row r="69" ht="31.950000762939453" customHeight="1">
      <x:c r="A69" s="34">
        <x:v>46293</x:v>
      </x:c>
      <x:c r="B69" s="60" t="s">
        <x:v>226</x:v>
      </x:c>
      <x:c r="C69" s="60"/>
      <x:c r="D69" s="60"/>
      <x:c r="E69" s="60"/>
      <x:c r="F69" s="60"/>
      <x:c r="G69" s="60"/>
    </x:row>
    <x:row r="70" ht="34.04999923706055" customHeight="1">
      <x:c r="A70" s="35">
        <x:v>46293</x:v>
      </x:c>
      <x:c r="B70" s="60" t="s">
        <x:v>227</x:v>
      </x:c>
      <x:c r="C70" s="61"/>
      <x:c r="D70" s="61"/>
      <x:c r="E70" s="61"/>
      <x:c r="F70" s="61"/>
      <x:c r="G70" s="61"/>
    </x:row>
    <x:row r="71" ht="34.04999923706055" customHeight="1">
      <x:c r="A71" s="35">
        <x:v>46293</x:v>
      </x:c>
      <x:c r="B71" s="60" t="s">
        <x:v>228</x:v>
      </x:c>
      <x:c r="C71" s="61"/>
      <x:c r="D71" s="61"/>
      <x:c r="E71" s="61"/>
      <x:c r="F71" s="61"/>
      <x:c r="G71" s="61"/>
    </x:row>
    <x:row r="72" ht="15.75" customHeight="1"/>
    <x:row r="73" ht="24" customHeight="1">
      <x:c r="A73" s="62" t="s">
        <x:v>229</x:v>
      </x:c>
      <x:c r="B73" s="62"/>
      <x:c r="C73" s="62"/>
      <x:c r="D73" s="62"/>
      <x:c r="E73" s="62"/>
      <x:c r="F73" s="62"/>
      <x:c r="G73" s="62"/>
    </x:row>
    <x:row r="74" ht="15.75" customHeight="1">
      <x:c r="A74" s="39" t="s">
        <x:v>230</x:v>
      </x:c>
      <x:c r="B74" s="39" t="s">
        <x:v>231</x:v>
      </x:c>
      <x:c r="C74" s="39" t="s">
        <x:v>232</x:v>
      </x:c>
      <x:c r="D74" s="39" t="s">
        <x:v>233</x:v>
      </x:c>
      <x:c r="E74" s="39" t="s">
        <x:v>234</x:v>
      </x:c>
      <x:c r="F74" s="39" t="s">
        <x:v>235</x:v>
      </x:c>
      <x:c r="G74" s="39" t="s">
        <x:v>236</x:v>
      </x:c>
    </x:row>
    <x:row r="75" ht="37.95000076293945" customHeight="1">
      <x:c r="A75" s="35">
        <x:v>46273</x:v>
      </x:c>
      <x:c r="B75" s="36" t="s">
        <x:v>237</x:v>
      </x:c>
      <x:c r="C75" s="36" t="s">
        <x:v>238</x:v>
      </x:c>
      <x:c r="D75" s="36" t="s">
        <x:v>239</x:v>
      </x:c>
      <x:c r="E75" s="33" t="s">
        <x:v>240</x:v>
      </x:c>
      <x:c r="F75" s="33" t="s">
        <x:v>241</x:v>
      </x:c>
      <x:c r="G75" s="33" t="s">
        <x:v>242</x:v>
      </x:c>
    </x:row>
    <x:row r="76" ht="37.95000076293945" customHeight="1">
      <x:c r="A76" s="35">
        <x:v>46293</x:v>
      </x:c>
      <x:c r="B76" s="36" t="s">
        <x:v>243</x:v>
      </x:c>
      <x:c r="C76" s="36" t="s">
        <x:v>244</x:v>
      </x:c>
      <x:c r="D76" s="36" t="s">
        <x:v>65</x:v>
      </x:c>
      <x:c r="E76" s="33" t="s">
        <x:v>245</x:v>
      </x:c>
      <x:c r="F76" s="33" t="s">
        <x:v>246</x:v>
      </x:c>
      <x:c r="G76" s="33" t="s">
        <x:v>247</x:v>
      </x:c>
    </x:row>
    <x:row r="77" ht="37.95000076293945" customHeight="1">
      <x:c r="A77" s="35">
        <x:v>46293</x:v>
      </x:c>
      <x:c r="B77" s="36" t="s">
        <x:v>248</x:v>
      </x:c>
      <x:c r="C77" s="36" t="s">
        <x:v>249</x:v>
      </x:c>
      <x:c r="D77" s="36" t="s">
        <x:v>41</x:v>
      </x:c>
      <x:c r="E77" s="33" t="s">
        <x:v>250</x:v>
      </x:c>
      <x:c r="F77" s="33" t="s">
        <x:v>241</x:v>
      </x:c>
      <x:c r="G77" s="33" t="s">
        <x:v>251</x:v>
      </x:c>
    </x:row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B70:G70"/>
    <x:mergeCell ref="B71:G71"/>
    <x:mergeCell ref="A73:G73"/>
    <x:mergeCell ref="B65:G65"/>
    <x:mergeCell ref="B66:G66"/>
    <x:mergeCell ref="B67:G67"/>
    <x:mergeCell ref="B68:G68"/>
    <x:mergeCell ref="B69:G69"/>
    <x:mergeCell ref="A52:G52"/>
    <x:mergeCell ref="A60:G60"/>
    <x:mergeCell ref="B62:G62"/>
    <x:mergeCell ref="B63:G63"/>
    <x:mergeCell ref="B64:G64"/>
    <x:mergeCell ref="B47:G47"/>
    <x:mergeCell ref="B48:G48"/>
    <x:mergeCell ref="B49:G49"/>
    <x:mergeCell ref="B50:G50"/>
    <x:mergeCell ref="A1:G1"/>
    <x:mergeCell ref="A2:G2"/>
    <x:mergeCell ref="A42:G42"/>
    <x:mergeCell ref="B43:G43"/>
    <x:mergeCell ref="B44:G44"/>
    <x:mergeCell ref="B45:G45"/>
    <x:mergeCell ref="B46:G4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12.59765625" defaultRowHeight="13.800000190734863"/>
  <x:cols>
    <x:col min="1" max="1" width="16" customWidth="1"/>
    <x:col min="2" max="2" width="27" customWidth="1"/>
    <x:col min="3" max="3" width="58" customWidth="1"/>
    <x:col min="4" max="4" width="26" customWidth="1"/>
    <x:col min="5" max="5" width="52" customWidth="1"/>
    <x:col min="6" max="26" width="8.59765625" customWidth="1"/>
  </x:cols>
  <x:sheetData>
    <x:row r="1">
      <x:c r="A1" s="55" t="s">
        <x:v>252</x:v>
      </x:c>
      <x:c r="B1" s="56"/>
      <x:c r="C1" s="56"/>
      <x:c r="D1" s="56"/>
      <x:c r="E1" s="56"/>
    </x:row>
    <x:row r="3">
      <x:c r="A3" s="63" t="str">
        <x:v>최종 발표일은 사용자 제공 최신 일정(2026-12-11)을 반영했습니다. 기존 2026-12-04 잠정 일정은 이력이며, 상세 작업 일정은 팀 검토가 필요합니다.</x:v>
      </x:c>
      <x:c r="B3" s="41"/>
      <x:c r="C3" s="41"/>
      <x:c r="D3" s="41"/>
      <x:c r="E3" s="42"/>
    </x:row>
    <x:row r="5">
      <x:c r="A5" s="3" t="s">
        <x:v>253</x:v>
      </x:c>
      <x:c r="B5" s="3" t="s">
        <x:v>254</x:v>
      </x:c>
      <x:c r="C5" s="3" t="s">
        <x:v>255</x:v>
      </x:c>
      <x:c r="D5" s="3" t="s">
        <x:v>256</x:v>
      </x:c>
      <x:c r="E5" s="3" t="s">
        <x:v>257</x:v>
      </x:c>
    </x:row>
    <x:row r="6" ht="36" customHeight="1">
      <x:c r="A6" s="6" t="s">
        <x:v>258</x:v>
      </x:c>
      <x:c r="B6" s="6" t="s">
        <x:v>259</x:v>
      </x:c>
      <x:c r="C6" s="6" t="s">
        <x:v>260</x:v>
      </x:c>
      <x:c r="D6" s="6" t="s">
        <x:v>261</x:v>
      </x:c>
      <x:c r="E6" s="6" t="s">
        <x:v>262</x:v>
      </x:c>
    </x:row>
    <x:row r="7" ht="36" customHeight="1">
      <x:c r="A7" s="6" t="s">
        <x:v>263</x:v>
      </x:c>
      <x:c r="B7" s="6" t="s">
        <x:v>264</x:v>
      </x:c>
      <x:c r="C7" s="6" t="s">
        <x:v>265</x:v>
      </x:c>
      <x:c r="D7" s="6" t="s">
        <x:v>266</x:v>
      </x:c>
      <x:c r="E7" s="6" t="s">
        <x:v>262</x:v>
      </x:c>
    </x:row>
    <x:row r="8" ht="36" customHeight="1">
      <x:c r="A8" s="6" t="s">
        <x:v>267</x:v>
      </x:c>
      <x:c r="B8" s="6" t="s">
        <x:v>268</x:v>
      </x:c>
      <x:c r="C8" s="6" t="s">
        <x:v>269</x:v>
      </x:c>
      <x:c r="D8" s="6" t="s">
        <x:v>270</x:v>
      </x:c>
      <x:c r="E8" s="6" t="s">
        <x:v>262</x:v>
      </x:c>
    </x:row>
    <x:row r="9" ht="36" customHeight="1">
      <x:c r="A9" s="6" t="s">
        <x:v>271</x:v>
      </x:c>
      <x:c r="B9" s="6" t="s">
        <x:v>272</x:v>
      </x:c>
      <x:c r="C9" s="6" t="s">
        <x:v>273</x:v>
      </x:c>
      <x:c r="D9" s="6" t="s">
        <x:v>274</x:v>
      </x:c>
      <x:c r="E9" s="6" t="s">
        <x:v>262</x:v>
      </x:c>
    </x:row>
    <x:row r="10" ht="36" customHeight="1">
      <x:c r="A10" s="6" t="s">
        <x:v>275</x:v>
      </x:c>
      <x:c r="B10" s="6" t="s">
        <x:v>276</x:v>
      </x:c>
      <x:c r="C10" s="6" t="s">
        <x:v>277</x:v>
      </x:c>
      <x:c r="D10" s="6" t="s">
        <x:v>278</x:v>
      </x:c>
      <x:c r="E10" s="6" t="s">
        <x:v>262</x:v>
      </x:c>
    </x:row>
    <x:row r="11" ht="36" customHeight="1">
      <x:c r="A11" s="6" t="s">
        <x:v>279</x:v>
      </x:c>
      <x:c r="B11" s="6" t="s">
        <x:v>280</x:v>
      </x:c>
      <x:c r="C11" s="6" t="s">
        <x:v>91</x:v>
      </x:c>
      <x:c r="D11" s="6" t="s">
        <x:v>281</x:v>
      </x:c>
      <x:c r="E11" s="6" t="s">
        <x:v>282</x:v>
      </x:c>
    </x:row>
    <x:row r="12" ht="36" customHeight="1">
      <x:c r="A12" s="6" t="s">
        <x:v>283</x:v>
      </x:c>
      <x:c r="B12" s="6" t="s">
        <x:v>284</x:v>
      </x:c>
      <x:c r="C12" s="6" t="s">
        <x:v>285</x:v>
      </x:c>
      <x:c r="D12" s="6" t="s">
        <x:v>286</x:v>
      </x:c>
      <x:c r="E12" s="6" t="s">
        <x:v>287</x:v>
      </x:c>
    </x:row>
    <x:row r="13" ht="36" customHeight="1">
      <x:c r="A13" s="6" t="s">
        <x:v>288</x:v>
      </x:c>
      <x:c r="B13" s="6" t="s">
        <x:v>289</x:v>
      </x:c>
      <x:c r="C13" s="6" t="s">
        <x:v>290</x:v>
      </x:c>
      <x:c r="D13" s="6" t="s">
        <x:v>291</x:v>
      </x:c>
      <x:c r="E13" s="6" t="s">
        <x:v>287</x:v>
      </x:c>
    </x:row>
    <x:row r="15">
      <x:c r="A15" s="3" t="s">
        <x:v>292</x:v>
      </x:c>
      <x:c r="B15" s="3" t="s">
        <x:v>293</x:v>
      </x:c>
      <x:c r="C15" s="3" t="s">
        <x:v>294</x:v>
      </x:c>
      <x:c r="D15" s="3" t="s">
        <x:v>236</x:v>
      </x:c>
      <x:c r="E15" s="3" t="s">
        <x:v>295</x:v>
      </x:c>
    </x:row>
    <x:row r="16" ht="48" customHeight="1">
      <x:c r="A16" s="6" t="s">
        <x:v>296</x:v>
      </x:c>
      <x:c r="B16" s="6" t="s">
        <x:v>297</x:v>
      </x:c>
      <x:c r="C16" s="6" t="s">
        <x:v>298</x:v>
      </x:c>
      <x:c r="D16" s="6" t="s">
        <x:v>299</x:v>
      </x:c>
      <x:c r="E16" s="6" t="s">
        <x:v>300</x:v>
      </x:c>
    </x:row>
    <x:row r="17" ht="48" customHeight="1">
      <x:c r="A17" s="6" t="s">
        <x:v>301</x:v>
      </x:c>
      <x:c r="B17" s="6" t="s">
        <x:v>302</x:v>
      </x:c>
      <x:c r="C17" s="6" t="s">
        <x:v>303</x:v>
      </x:c>
      <x:c r="D17" s="6" t="s">
        <x:v>304</x:v>
      </x:c>
      <x:c r="E17" s="6" t="s">
        <x:v>305</x:v>
      </x:c>
    </x:row>
    <x:row r="18" ht="48" customHeight="1">
      <x:c r="A18" s="6" t="s">
        <x:v>306</x:v>
      </x:c>
      <x:c r="B18" s="6" t="s">
        <x:v>307</x:v>
      </x:c>
      <x:c r="C18" s="6" t="s">
        <x:v>308</x:v>
      </x:c>
      <x:c r="D18" s="6" t="s">
        <x:v>309</x:v>
      </x:c>
      <x:c r="E18" s="6" t="s">
        <x:v>310</x:v>
      </x:c>
    </x:row>
    <x:row r="19" ht="48" customHeight="1">
      <x:c r="A19" s="6" t="s">
        <x:v>311</x:v>
      </x:c>
      <x:c r="B19" s="6" t="s">
        <x:v>312</x:v>
      </x:c>
      <x:c r="C19" s="6" t="s">
        <x:v>313</x:v>
      </x:c>
      <x:c r="D19" s="6" t="s">
        <x:v>314</x:v>
      </x:c>
      <x:c r="E19" s="6" t="s">
        <x:v>315</x:v>
      </x:c>
    </x:row>
    <x:row r="21" ht="24" customHeight="1">
      <x:c r="A21" s="59" t="s">
        <x:v>316</x:v>
      </x:c>
      <x:c r="B21" s="59" t="s">
        <x:v>293</x:v>
      </x:c>
      <x:c r="C21" s="59" t="s">
        <x:v>294</x:v>
      </x:c>
      <x:c r="D21" s="59" t="s">
        <x:v>236</x:v>
      </x:c>
      <x:c r="E21" s="59" t="s">
        <x:v>295</x:v>
      </x:c>
    </x:row>
    <x:row r="22" ht="28.049999237060547" customHeight="1">
      <x:c r="A22" s="31" t="s">
        <x:v>292</x:v>
      </x:c>
      <x:c r="B22" s="31" t="s">
        <x:v>293</x:v>
      </x:c>
      <x:c r="C22" s="31" t="s">
        <x:v>294</x:v>
      </x:c>
      <x:c r="D22" s="31" t="s">
        <x:v>317</x:v>
      </x:c>
      <x:c r="E22" s="31" t="s">
        <x:v>234</x:v>
      </x:c>
    </x:row>
    <x:row r="23" ht="40.04999923706055" customHeight="1">
      <x:c r="A23" s="33" t="s">
        <x:v>318</x:v>
      </x:c>
      <x:c r="B23" s="33" t="s">
        <x:v>319</x:v>
      </x:c>
      <x:c r="C23" s="33" t="s">
        <x:v>320</x:v>
      </x:c>
      <x:c r="D23" s="33" t="s">
        <x:v>321</x:v>
      </x:c>
      <x:c r="E23" s="33" t="s">
        <x:v>322</x:v>
      </x:c>
    </x:row>
    <x:row r="24" ht="40.04999923706055" customHeight="1">
      <x:c r="A24" s="33" t="s">
        <x:v>323</x:v>
      </x:c>
      <x:c r="B24" s="33" t="s">
        <x:v>324</x:v>
      </x:c>
      <x:c r="C24" s="33" t="s">
        <x:v>325</x:v>
      </x:c>
      <x:c r="D24" s="33" t="s">
        <x:v>213</x:v>
      </x:c>
      <x:c r="E24" s="33" t="s">
        <x:v>326</x:v>
      </x:c>
    </x:row>
    <x:row r="25" ht="40.04999923706055" customHeight="1">
      <x:c r="A25" s="33" t="s">
        <x:v>327</x:v>
      </x:c>
      <x:c r="B25" s="33" t="s">
        <x:v>328</x:v>
      </x:c>
      <x:c r="C25" s="33" t="s">
        <x:v>329</x:v>
      </x:c>
      <x:c r="D25" s="33" t="s">
        <x:v>330</x:v>
      </x:c>
      <x:c r="E25" s="33" t="s">
        <x:v>331</x:v>
      </x:c>
    </x:row>
    <x:row r="26" ht="40.04999923706055" customHeight="1">
      <x:c r="A26" s="33" t="s">
        <x:v>332</x:v>
      </x:c>
      <x:c r="B26" s="33" t="s">
        <x:v>333</x:v>
      </x:c>
      <x:c r="C26" s="33" t="s">
        <x:v>334</x:v>
      </x:c>
      <x:c r="D26" s="33" t="s">
        <x:v>335</x:v>
      </x:c>
      <x:c r="E26" s="33" t="s">
        <x:v>336</x:v>
      </x:c>
    </x:row>
    <x:row r="27" ht="40.04999923706055" customHeight="1">
      <x:c r="A27" s="33" t="s">
        <x:v>337</x:v>
      </x:c>
      <x:c r="B27" s="33" t="s">
        <x:v>338</x:v>
      </x:c>
      <x:c r="C27" s="33" t="s">
        <x:v>339</x:v>
      </x:c>
      <x:c r="D27" s="33" t="s">
        <x:v>340</x:v>
      </x:c>
      <x:c r="E27" s="33" t="s">
        <x:v>341</x:v>
      </x:c>
    </x:row>
    <x:row r="28" ht="40.04999923706055" customHeight="1">
      <x:c r="A28" s="33" t="s">
        <x:v>33</x:v>
      </x:c>
      <x:c r="B28" s="33" t="s">
        <x:v>342</x:v>
      </x:c>
      <x:c r="C28" s="33" t="s">
        <x:v>343</x:v>
      </x:c>
      <x:c r="D28" s="33" t="s">
        <x:v>344</x:v>
      </x:c>
      <x:c r="E28" s="33" t="s">
        <x:v>345</x:v>
      </x:c>
    </x:row>
    <x:row r="29" ht="42" customHeight="1">
      <x:c r="A29" s="38" t="s">
        <x:v>346</x:v>
      </x:c>
      <x:c r="B29" s="38" t="s">
        <x:v>347</x:v>
      </x:c>
      <x:c r="C29" s="38" t="s">
        <x:v>348</x:v>
      </x:c>
      <x:c r="D29" s="38" t="s">
        <x:v>349</x:v>
      </x:c>
      <x:c r="E29" s="38" t="s">
        <x:v>350</x:v>
      </x:c>
    </x:row>
    <x:row r="30" ht="42" customHeight="1">
      <x:c r="A30" s="38" t="s">
        <x:v>351</x:v>
      </x:c>
      <x:c r="B30" s="38" t="s">
        <x:v>352</x:v>
      </x:c>
      <x:c r="C30" s="38" t="s">
        <x:v>353</x:v>
      </x:c>
      <x:c r="D30" s="38" t="s">
        <x:v>354</x:v>
      </x:c>
      <x:c r="E30" s="38" t="s">
        <x:v>355</x:v>
      </x:c>
    </x:row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E1"/>
    <x:mergeCell ref="A3:E3"/>
    <x:mergeCell ref="A21:E2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12.59765625" defaultRowHeight="13.800000190734863"/>
  <x:cols>
    <x:col min="1" max="1" width="19" customWidth="1"/>
    <x:col min="2" max="3" width="20" customWidth="1"/>
    <x:col min="4" max="4" width="58" customWidth="1"/>
    <x:col min="5" max="5" width="72" customWidth="1"/>
    <x:col min="6" max="6" width="52" customWidth="1"/>
    <x:col min="7" max="7" width="22" customWidth="1"/>
    <x:col min="8" max="26" width="8.59765625" customWidth="1"/>
  </x:cols>
  <x:sheetData>
    <x:row r="1">
      <x:c r="A1" s="55" t="s">
        <x:v>356</x:v>
      </x:c>
      <x:c r="B1" s="56"/>
      <x:c r="C1" s="56"/>
      <x:c r="D1" s="56"/>
      <x:c r="E1" s="56"/>
      <x:c r="F1" s="56"/>
      <x:c r="G1" s="56"/>
    </x:row>
    <x:row r="2">
      <x:c r="A2" s="57" t="s">
        <x:v>357</x:v>
      </x:c>
      <x:c r="B2" s="56"/>
      <x:c r="C2" s="56"/>
      <x:c r="D2" s="56"/>
      <x:c r="E2" s="56"/>
      <x:c r="F2" s="56"/>
      <x:c r="G2" s="56"/>
    </x:row>
    <x:row r="4">
      <x:c r="A4" s="3" t="s">
        <x:v>358</x:v>
      </x:c>
      <x:c r="B4" s="3" t="s">
        <x:v>359</x:v>
      </x:c>
      <x:c r="C4" s="3" t="s">
        <x:v>360</x:v>
      </x:c>
      <x:c r="D4" s="3" t="s">
        <x:v>361</x:v>
      </x:c>
      <x:c r="E4" s="3" t="s">
        <x:v>362</x:v>
      </x:c>
      <x:c r="F4" s="3" t="s">
        <x:v>363</x:v>
      </x:c>
      <x:c r="G4" s="3" t="s">
        <x:v>21</x:v>
      </x:c>
    </x:row>
    <x:row r="5" ht="48" customHeight="1">
      <x:c r="A5" s="6" t="s">
        <x:v>364</x:v>
      </x:c>
      <x:c r="B5" s="6" t="s">
        <x:v>365</x:v>
      </x:c>
      <x:c r="C5" s="6" t="s">
        <x:v>366</x:v>
      </x:c>
      <x:c r="D5" s="6" t="s">
        <x:v>367</x:v>
      </x:c>
      <x:c r="E5" s="6" t="s">
        <x:v>368</x:v>
      </x:c>
      <x:c r="F5" s="6" t="s">
        <x:v>369</x:v>
      </x:c>
      <x:c r="G5" s="6" t="s">
        <x:v>41</x:v>
      </x:c>
    </x:row>
    <x:row r="6" ht="48" customHeight="1">
      <x:c r="A6" s="6" t="s">
        <x:v>370</x:v>
      </x:c>
      <x:c r="B6" s="6" t="s">
        <x:v>365</x:v>
      </x:c>
      <x:c r="C6" s="6" t="s">
        <x:v>371</x:v>
      </x:c>
      <x:c r="D6" s="6" t="s">
        <x:v>372</x:v>
      </x:c>
      <x:c r="E6" s="6" t="s">
        <x:v>373</x:v>
      </x:c>
      <x:c r="F6" s="6" t="s">
        <x:v>374</x:v>
      </x:c>
      <x:c r="G6" s="6" t="s">
        <x:v>45</x:v>
      </x:c>
    </x:row>
    <x:row r="7" ht="48" customHeight="1">
      <x:c r="A7" s="6" t="s">
        <x:v>370</x:v>
      </x:c>
      <x:c r="B7" s="6" t="s">
        <x:v>365</x:v>
      </x:c>
      <x:c r="C7" s="6" t="s">
        <x:v>375</x:v>
      </x:c>
      <x:c r="D7" s="6" t="s">
        <x:v>376</x:v>
      </x:c>
      <x:c r="E7" s="6" t="s">
        <x:v>377</x:v>
      </x:c>
      <x:c r="F7" s="6" t="s">
        <x:v>378</x:v>
      </x:c>
      <x:c r="G7" s="6" t="s">
        <x:v>48</x:v>
      </x:c>
    </x:row>
    <x:row r="8" ht="48" customHeight="1">
      <x:c r="A8" s="6" t="s">
        <x:v>370</x:v>
      </x:c>
      <x:c r="B8" s="6" t="s">
        <x:v>365</x:v>
      </x:c>
      <x:c r="C8" s="6" t="s">
        <x:v>379</x:v>
      </x:c>
      <x:c r="D8" s="6" t="s">
        <x:v>380</x:v>
      </x:c>
      <x:c r="E8" s="6" t="s">
        <x:v>381</x:v>
      </x:c>
      <x:c r="F8" s="6" t="s">
        <x:v>382</x:v>
      </x:c>
      <x:c r="G8" s="6" t="s">
        <x:v>67</x:v>
      </x:c>
    </x:row>
    <x:row r="9" ht="48" customHeight="1">
      <x:c r="A9" s="6" t="s">
        <x:v>370</x:v>
      </x:c>
      <x:c r="B9" s="6" t="s">
        <x:v>365</x:v>
      </x:c>
      <x:c r="C9" s="6" t="s">
        <x:v>383</x:v>
      </x:c>
      <x:c r="D9" s="6" t="s">
        <x:v>384</x:v>
      </x:c>
      <x:c r="E9" s="6" t="s">
        <x:v>385</x:v>
      </x:c>
      <x:c r="F9" s="6" t="s">
        <x:v>386</x:v>
      </x:c>
      <x:c r="G9" s="6" t="s">
        <x:v>37</x:v>
      </x:c>
    </x:row>
    <x:row r="10" ht="48" customHeight="1">
      <x:c r="A10" s="6" t="s">
        <x:v>387</x:v>
      </x:c>
      <x:c r="B10" s="6" t="s">
        <x:v>37</x:v>
      </x:c>
      <x:c r="C10" s="6" t="s">
        <x:v>388</x:v>
      </x:c>
      <x:c r="D10" s="6" t="s">
        <x:v>389</x:v>
      </x:c>
      <x:c r="E10" s="6"/>
      <x:c r="F10" s="6" t="s">
        <x:v>390</x:v>
      </x:c>
      <x:c r="G10" s="6" t="s">
        <x:v>37</x:v>
      </x:c>
    </x:row>
    <x:row r="11" ht="48" customHeight="1">
      <x:c r="A11" s="6" t="s">
        <x:v>391</x:v>
      </x:c>
      <x:c r="B11" s="6" t="s">
        <x:v>365</x:v>
      </x:c>
      <x:c r="C11" s="6" t="s">
        <x:v>392</x:v>
      </x:c>
      <x:c r="D11" s="6" t="s">
        <x:v>393</x:v>
      </x:c>
      <x:c r="E11" s="6"/>
      <x:c r="F11" s="6" t="s">
        <x:v>394</x:v>
      </x:c>
      <x:c r="G11" s="6" t="s">
        <x:v>41</x:v>
      </x:c>
    </x:row>
    <x:row r="12" ht="48" customHeight="1">
      <x:c r="A12" s="6" t="s">
        <x:v>391</x:v>
      </x:c>
      <x:c r="B12" s="6" t="s">
        <x:v>365</x:v>
      </x:c>
      <x:c r="C12" s="6" t="s">
        <x:v>395</x:v>
      </x:c>
      <x:c r="D12" s="6" t="s">
        <x:v>396</x:v>
      </x:c>
      <x:c r="E12" s="6" t="s">
        <x:v>397</x:v>
      </x:c>
      <x:c r="F12" s="6" t="s">
        <x:v>398</x:v>
      </x:c>
      <x:c r="G12" s="6" t="s">
        <x:v>52</x:v>
      </x:c>
    </x:row>
    <x:row r="13" ht="48" customHeight="1">
      <x:c r="A13" s="6" t="s">
        <x:v>399</x:v>
      </x:c>
      <x:c r="B13" s="6" t="s">
        <x:v>365</x:v>
      </x:c>
      <x:c r="C13" s="6" t="s">
        <x:v>400</x:v>
      </x:c>
      <x:c r="D13" s="6" t="s">
        <x:v>401</x:v>
      </x:c>
      <x:c r="E13" s="6" t="s">
        <x:v>402</x:v>
      </x:c>
      <x:c r="F13" s="6" t="s">
        <x:v>403</x:v>
      </x:c>
      <x:c r="G13" s="6" t="s">
        <x:v>58</x:v>
      </x:c>
    </x:row>
    <x:row r="15">
      <x:c r="A15" s="55" t="s">
        <x:v>404</x:v>
      </x:c>
      <x:c r="B15" s="56"/>
      <x:c r="C15" s="56"/>
      <x:c r="D15" s="56"/>
      <x:c r="E15" s="56"/>
      <x:c r="F15" s="56"/>
      <x:c r="G15" s="56"/>
    </x:row>
    <x:row r="16">
      <x:c r="A16" s="3" t="s">
        <x:v>360</x:v>
      </x:c>
      <x:c r="B16" s="3" t="s">
        <x:v>35</x:v>
      </x:c>
      <x:c r="C16" s="3" t="s">
        <x:v>39</x:v>
      </x:c>
      <x:c r="D16" s="3" t="s">
        <x:v>405</x:v>
      </x:c>
      <x:c r="E16" s="3" t="s">
        <x:v>406</x:v>
      </x:c>
      <x:c r="F16" s="3" t="s">
        <x:v>407</x:v>
      </x:c>
      <x:c r="G16" s="3" t="s">
        <x:v>22</x:v>
      </x:c>
    </x:row>
    <x:row r="17" ht="43.5" customHeight="1">
      <x:c r="A17" s="6" t="s">
        <x:v>408</x:v>
      </x:c>
      <x:c r="B17" s="6" t="s">
        <x:v>409</x:v>
      </x:c>
      <x:c r="C17" s="6" t="s">
        <x:v>369</x:v>
      </x:c>
      <x:c r="D17" s="13">
        <x:v>46254</x:v>
      </x:c>
      <x:c r="E17" s="13">
        <x:v>46269</x:v>
      </x:c>
      <x:c r="F17" s="14">
        <x:v>0.3</x:v>
      </x:c>
      <x:c r="G17" s="6" t="s">
        <x:v>410</x:v>
      </x:c>
    </x:row>
    <x:row r="18" ht="43.5" customHeight="1">
      <x:c r="A18" s="6" t="s">
        <x:v>411</x:v>
      </x:c>
      <x:c r="B18" s="6" t="s">
        <x:v>412</x:v>
      </x:c>
      <x:c r="C18" s="6" t="s">
        <x:v>413</x:v>
      </x:c>
      <x:c r="D18" s="13">
        <x:v>46254</x:v>
      </x:c>
      <x:c r="E18" s="13">
        <x:v>46276</x:v>
      </x:c>
      <x:c r="F18" s="14">
        <x:v>1</x:v>
      </x:c>
      <x:c r="G18" s="6" t="s">
        <x:v>49</x:v>
      </x:c>
    </x:row>
    <x:row r="19" ht="43.5" customHeight="1">
      <x:c r="A19" s="6" t="s">
        <x:v>395</x:v>
      </x:c>
      <x:c r="B19" s="6" t="s">
        <x:v>414</x:v>
      </x:c>
      <x:c r="C19" s="6" t="s">
        <x:v>415</x:v>
      </x:c>
      <x:c r="D19" s="13">
        <x:v>46254</x:v>
      </x:c>
      <x:c r="E19" s="13">
        <x:v>46269</x:v>
      </x:c>
      <x:c r="F19" s="14">
        <x:v>1</x:v>
      </x:c>
      <x:c r="G19" s="6" t="s">
        <x:v>416</x:v>
      </x:c>
    </x:row>
    <x:row r="20" ht="43.5" customHeight="1">
      <x:c r="A20" s="6" t="s">
        <x:v>400</x:v>
      </x:c>
      <x:c r="B20" s="6" t="s">
        <x:v>417</x:v>
      </x:c>
      <x:c r="C20" s="6" t="s">
        <x:v>418</x:v>
      </x:c>
      <x:c r="D20" s="13">
        <x:v>46254</x:v>
      </x:c>
      <x:c r="E20" s="13">
        <x:v>46276</x:v>
      </x:c>
      <x:c r="F20" s="14">
        <x:v>0.2</x:v>
      </x:c>
      <x:c r="G20" s="6" t="s">
        <x:v>419</x:v>
      </x:c>
    </x:row>
    <x:row r="21" ht="15.75" customHeight="1"/>
    <x:row r="22" ht="24" customHeight="1">
      <x:c r="A22" s="59" t="s">
        <x:v>420</x:v>
      </x:c>
      <x:c r="B22" s="59"/>
      <x:c r="C22" s="59"/>
      <x:c r="D22" s="59"/>
      <x:c r="E22" s="59"/>
      <x:c r="F22" s="59"/>
      <x:c r="G22" s="59"/>
    </x:row>
    <x:row r="23" ht="28.049999237060547" customHeight="1">
      <x:c r="A23" s="31" t="s">
        <x:v>358</x:v>
      </x:c>
      <x:c r="B23" s="31" t="s">
        <x:v>359</x:v>
      </x:c>
      <x:c r="C23" s="31" t="s">
        <x:v>360</x:v>
      </x:c>
      <x:c r="D23" s="31" t="s">
        <x:v>361</x:v>
      </x:c>
      <x:c r="E23" s="31" t="s">
        <x:v>362</x:v>
      </x:c>
      <x:c r="F23" s="31" t="s">
        <x:v>363</x:v>
      </x:c>
      <x:c r="G23" s="31" t="s">
        <x:v>21</x:v>
      </x:c>
    </x:row>
    <x:row r="24" ht="42" customHeight="1">
      <x:c r="A24" s="33" t="s">
        <x:v>421</x:v>
      </x:c>
      <x:c r="B24" s="33" t="s">
        <x:v>422</x:v>
      </x:c>
      <x:c r="C24" s="33" t="s">
        <x:v>423</x:v>
      </x:c>
      <x:c r="D24" s="33" t="s">
        <x:v>424</x:v>
      </x:c>
      <x:c r="E24" s="33"/>
      <x:c r="F24" s="33" t="s">
        <x:v>425</x:v>
      </x:c>
      <x:c r="G24" s="33" t="s">
        <x:v>65</x:v>
      </x:c>
    </x:row>
    <x:row r="25" ht="42" customHeight="1">
      <x:c r="A25" s="33" t="s">
        <x:v>421</x:v>
      </x:c>
      <x:c r="B25" s="33" t="s">
        <x:v>422</x:v>
      </x:c>
      <x:c r="C25" s="33" t="s">
        <x:v>426</x:v>
      </x:c>
      <x:c r="D25" s="33" t="s">
        <x:v>427</x:v>
      </x:c>
      <x:c r="E25" s="33"/>
      <x:c r="F25" s="33" t="s">
        <x:v>428</x:v>
      </x:c>
      <x:c r="G25" s="33" t="s">
        <x:v>142</x:v>
      </x:c>
    </x:row>
    <x:row r="26" ht="42" customHeight="1">
      <x:c r="A26" s="33" t="s">
        <x:v>421</x:v>
      </x:c>
      <x:c r="B26" s="33" t="s">
        <x:v>422</x:v>
      </x:c>
      <x:c r="C26" s="33" t="s">
        <x:v>429</x:v>
      </x:c>
      <x:c r="D26" s="33" t="s">
        <x:v>430</x:v>
      </x:c>
      <x:c r="E26" s="33"/>
      <x:c r="F26" s="33" t="s">
        <x:v>431</x:v>
      </x:c>
      <x:c r="G26" s="33" t="s">
        <x:v>7</x:v>
      </x:c>
    </x:row>
    <x:row r="27" ht="42" customHeight="1">
      <x:c r="A27" s="33" t="s">
        <x:v>421</x:v>
      </x:c>
      <x:c r="B27" s="33" t="s">
        <x:v>422</x:v>
      </x:c>
      <x:c r="C27" s="33" t="s">
        <x:v>432</x:v>
      </x:c>
      <x:c r="D27" s="33" t="s">
        <x:v>433</x:v>
      </x:c>
      <x:c r="E27" s="33"/>
      <x:c r="F27" s="33" t="s">
        <x:v>434</x:v>
      </x:c>
      <x:c r="G27" s="33" t="s">
        <x:v>435</x:v>
      </x:c>
    </x:row>
    <x:row r="28" ht="42" customHeight="1">
      <x:c r="A28" s="33" t="s">
        <x:v>421</x:v>
      </x:c>
      <x:c r="B28" s="33" t="s">
        <x:v>422</x:v>
      </x:c>
      <x:c r="C28" s="33" t="s">
        <x:v>436</x:v>
      </x:c>
      <x:c r="D28" s="33" t="s">
        <x:v>437</x:v>
      </x:c>
      <x:c r="E28" s="33"/>
      <x:c r="F28" s="33" t="s">
        <x:v>438</x:v>
      </x:c>
      <x:c r="G28" s="33" t="s">
        <x:v>439</x:v>
      </x:c>
    </x:row>
    <x:row r="29" ht="42" customHeight="1">
      <x:c r="A29" s="33" t="s">
        <x:v>421</x:v>
      </x:c>
      <x:c r="B29" s="33" t="s">
        <x:v>422</x:v>
      </x:c>
      <x:c r="C29" s="33" t="s">
        <x:v>440</x:v>
      </x:c>
      <x:c r="D29" s="33" t="s">
        <x:v>441</x:v>
      </x:c>
      <x:c r="E29" s="33"/>
      <x:c r="F29" s="33" t="s">
        <x:v>442</x:v>
      </x:c>
      <x:c r="G29" s="33" t="s">
        <x:v>4</x:v>
      </x:c>
    </x:row>
    <x:row r="30" ht="15.75" customHeight="1">
      <x:c r="A30" s="30"/>
      <x:c r="B30" s="30"/>
      <x:c r="C30" s="30"/>
      <x:c r="D30" s="30"/>
      <x:c r="E30" s="30"/>
      <x:c r="F30" s="30"/>
      <x:c r="G30" s="30"/>
    </x:row>
    <x:row r="31" ht="24" customHeight="1">
      <x:c r="A31" s="59" t="s">
        <x:v>443</x:v>
      </x:c>
      <x:c r="B31" s="59"/>
      <x:c r="C31" s="59"/>
      <x:c r="D31" s="59"/>
      <x:c r="E31" s="59"/>
      <x:c r="F31" s="59"/>
      <x:c r="G31" s="59"/>
    </x:row>
    <x:row r="32" ht="28.049999237060547" customHeight="1">
      <x:c r="A32" s="31" t="s">
        <x:v>360</x:v>
      </x:c>
      <x:c r="B32" s="31" t="s">
        <x:v>444</x:v>
      </x:c>
      <x:c r="C32" s="31" t="s">
        <x:v>445</x:v>
      </x:c>
      <x:c r="D32" s="31" t="s">
        <x:v>405</x:v>
      </x:c>
      <x:c r="E32" s="31" t="s">
        <x:v>406</x:v>
      </x:c>
      <x:c r="F32" s="31" t="s">
        <x:v>407</x:v>
      </x:c>
      <x:c r="G32" s="31" t="s">
        <x:v>22</x:v>
      </x:c>
    </x:row>
    <x:row r="33" ht="36" customHeight="1">
      <x:c r="A33" s="32" t="s">
        <x:v>446</x:v>
      </x:c>
      <x:c r="B33" s="32" t="s">
        <x:v>447</x:v>
      </x:c>
      <x:c r="C33" s="32" t="s">
        <x:v>448</x:v>
      </x:c>
      <x:c r="D33" s="34">
        <x:v>46293</x:v>
      </x:c>
      <x:c r="E33" s="34">
        <x:v>46304</x:v>
      </x:c>
      <x:c r="F33" s="37">
        <x:v>0.6</x:v>
      </x:c>
      <x:c r="G33" s="32" t="s">
        <x:v>449</x:v>
      </x:c>
    </x:row>
    <x:row r="34" ht="36" customHeight="1">
      <x:c r="A34" s="32" t="s">
        <x:v>426</x:v>
      </x:c>
      <x:c r="B34" s="32" t="s">
        <x:v>450</x:v>
      </x:c>
      <x:c r="C34" s="32" t="s">
        <x:v>451</x:v>
      </x:c>
      <x:c r="D34" s="34">
        <x:v>46293</x:v>
      </x:c>
      <x:c r="E34" s="34">
        <x:v>46311</x:v>
      </x:c>
      <x:c r="F34" s="37">
        <x:v>0.35</x:v>
      </x:c>
      <x:c r="G34" s="32" t="s">
        <x:v>452</x:v>
      </x:c>
    </x:row>
    <x:row r="35" ht="36" customHeight="1">
      <x:c r="A35" s="32" t="s">
        <x:v>453</x:v>
      </x:c>
      <x:c r="B35" s="32" t="s">
        <x:v>454</x:v>
      </x:c>
      <x:c r="C35" s="32" t="s">
        <x:v>455</x:v>
      </x:c>
      <x:c r="D35" s="34">
        <x:v>46293</x:v>
      </x:c>
      <x:c r="E35" s="34">
        <x:v>46311</x:v>
      </x:c>
      <x:c r="F35" s="37">
        <x:v>0.3</x:v>
      </x:c>
      <x:c r="G35" s="32" t="s">
        <x:v>456</x:v>
      </x:c>
    </x:row>
    <x:row r="36" ht="36" customHeight="1">
      <x:c r="A36" s="32" t="s">
        <x:v>440</x:v>
      </x:c>
      <x:c r="B36" s="32" t="s">
        <x:v>457</x:v>
      </x:c>
      <x:c r="C36" s="32" t="s">
        <x:v>458</x:v>
      </x:c>
      <x:c r="D36" s="34">
        <x:v>46293</x:v>
      </x:c>
      <x:c r="E36" s="34">
        <x:v>46325</x:v>
      </x:c>
      <x:c r="F36" s="37">
        <x:v>0.15</x:v>
      </x:c>
      <x:c r="G36" s="32" t="s">
        <x:v>459</x:v>
      </x:c>
    </x:row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G1"/>
    <x:mergeCell ref="A2:G2"/>
    <x:mergeCell ref="A15:G15"/>
    <x:mergeCell ref="A22:G22"/>
    <x:mergeCell ref="A31:G3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12.59765625" defaultRowHeight="13.800000190734863"/>
  <x:cols>
    <x:col min="1" max="1" width="19" customWidth="1"/>
    <x:col min="2" max="2" width="58" customWidth="1"/>
    <x:col min="3" max="3" width="72" customWidth="1"/>
    <x:col min="4" max="26" width="8.59765625" customWidth="1"/>
  </x:cols>
  <x:sheetData>
    <x:row r="1">
      <x:c r="A1" s="55" t="s">
        <x:v>460</x:v>
      </x:c>
      <x:c r="B1" s="56"/>
      <x:c r="C1" s="56"/>
    </x:row>
    <x:row r="3">
      <x:c r="A3" s="63" t="s">
        <x:v>461</x:v>
      </x:c>
      <x:c r="B3" s="41"/>
      <x:c r="C3" s="42"/>
    </x:row>
    <x:row r="5">
      <x:c r="A5" s="3" t="s">
        <x:v>462</x:v>
      </x:c>
      <x:c r="B5" s="3" t="s">
        <x:v>463</x:v>
      </x:c>
      <x:c r="C5" s="3" t="s">
        <x:v>464</x:v>
      </x:c>
    </x:row>
    <x:row r="6">
      <x:c r="A6" s="6" t="s">
        <x:v>465</x:v>
      </x:c>
      <x:c r="B6" s="6" t="s">
        <x:v>466</x:v>
      </x:c>
      <x:c r="C6" s="6" t="s">
        <x:v>467</x:v>
      </x:c>
    </x:row>
    <x:row r="7">
      <x:c r="A7" s="6" t="s">
        <x:v>468</x:v>
      </x:c>
      <x:c r="B7" s="6" t="s">
        <x:v>469</x:v>
      </x:c>
      <x:c r="C7" s="6" t="s">
        <x:v>470</x:v>
      </x:c>
    </x:row>
    <x:row r="8">
      <x:c r="A8" s="6" t="s">
        <x:v>471</x:v>
      </x:c>
      <x:c r="B8" s="6" t="s">
        <x:v>472</x:v>
      </x:c>
      <x:c r="C8" s="6" t="s">
        <x:v>473</x:v>
      </x:c>
    </x:row>
    <x:row r="9">
      <x:c r="A9" s="6" t="s">
        <x:v>474</x:v>
      </x:c>
      <x:c r="B9" s="6" t="s">
        <x:v>475</x:v>
      </x:c>
      <x:c r="C9" s="6" t="s">
        <x:v>476</x:v>
      </x:c>
    </x:row>
    <x:row r="11">
      <x:c r="A11" s="3" t="s">
        <x:v>477</x:v>
      </x:c>
      <x:c r="B11" s="3" t="s">
        <x:v>478</x:v>
      </x:c>
      <x:c r="C11" s="3" t="s">
        <x:v>479</x:v>
      </x:c>
    </x:row>
    <x:row r="12" ht="33.75" customHeight="1">
      <x:c r="A12" s="24" t="s">
        <x:v>254</x:v>
      </x:c>
      <x:c r="B12" s="6" t="s">
        <x:v>480</x:v>
      </x:c>
      <x:c r="C12" s="6" t="s">
        <x:v>481</x:v>
      </x:c>
    </x:row>
    <x:row r="13" ht="33.75" customHeight="1">
      <x:c r="A13" s="24" t="s">
        <x:v>482</x:v>
      </x:c>
      <x:c r="B13" s="6" t="s">
        <x:v>483</x:v>
      </x:c>
      <x:c r="C13" s="6" t="s">
        <x:v>484</x:v>
      </x:c>
    </x:row>
    <x:row r="14" ht="33.75" customHeight="1">
      <x:c r="A14" s="24" t="s">
        <x:v>19</x:v>
      </x:c>
      <x:c r="B14" s="6" t="s">
        <x:v>485</x:v>
      </x:c>
      <x:c r="C14" s="6" t="s">
        <x:v>486</x:v>
      </x:c>
    </x:row>
    <x:row r="15" ht="33.75" customHeight="1">
      <x:c r="A15" s="24" t="s">
        <x:v>20</x:v>
      </x:c>
      <x:c r="B15" s="6" t="s">
        <x:v>487</x:v>
      </x:c>
      <x:c r="C15" s="6" t="s">
        <x:v>488</x:v>
      </x:c>
    </x:row>
    <x:row r="16" ht="33.75" customHeight="1">
      <x:c r="A16" s="24" t="s">
        <x:v>21</x:v>
      </x:c>
      <x:c r="B16" s="6" t="s">
        <x:v>489</x:v>
      </x:c>
      <x:c r="C16" s="6" t="s">
        <x:v>490</x:v>
      </x:c>
    </x:row>
    <x:row r="17" ht="33.75" customHeight="1">
      <x:c r="A17" s="24" t="s">
        <x:v>22</x:v>
      </x:c>
      <x:c r="B17" s="6" t="s">
        <x:v>491</x:v>
      </x:c>
      <x:c r="C17" s="6" t="s">
        <x:v>492</x:v>
      </x:c>
    </x:row>
    <x:row r="18" ht="33.75" customHeight="1">
      <x:c r="A18" s="24" t="s">
        <x:v>9</x:v>
      </x:c>
      <x:c r="B18" s="6" t="s">
        <x:v>493</x:v>
      </x:c>
      <x:c r="C18" s="6" t="s">
        <x:v>494</x:v>
      </x:c>
    </x:row>
    <x:row r="19" ht="33.75" customHeight="1">
      <x:c r="A19" s="24" t="s">
        <x:v>495</x:v>
      </x:c>
      <x:c r="B19" s="6" t="s">
        <x:v>496</x:v>
      </x:c>
      <x:c r="C19" s="6" t="s">
        <x:v>497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C1"/>
    <x:mergeCell ref="A3:C3"/>
  </x:mergeCells>
  <x:pageMargins left="0.7" right="0.7" top="0.75" bottom="0.75" header="0.3" footer="0.3"/>
</x:worksheet>
</file>